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Download\"/>
    </mc:Choice>
  </mc:AlternateContent>
  <xr:revisionPtr revIDLastSave="0" documentId="13_ncr:1_{1A95DDD7-096A-481F-AAC2-539163BB4E0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Datos" sheetId="2" r:id="rId1"/>
    <sheet name="Muestras" sheetId="3" r:id="rId2"/>
    <sheet name="Estadisticas" sheetId="4" r:id="rId3"/>
    <sheet name="Comparacion" sheetId="5" r:id="rId4"/>
    <sheet name="Graficas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2" i="6" l="1"/>
  <c r="A41" i="6"/>
  <c r="A40" i="6"/>
  <c r="A23" i="6"/>
  <c r="A22" i="6"/>
  <c r="A21" i="6"/>
  <c r="A4" i="6"/>
  <c r="A3" i="6"/>
  <c r="A2" i="6"/>
  <c r="F19" i="4"/>
  <c r="F17" i="4"/>
  <c r="F15" i="4"/>
  <c r="F13" i="4"/>
  <c r="D13" i="4"/>
  <c r="H11" i="4"/>
  <c r="F11" i="4"/>
  <c r="D11" i="4"/>
  <c r="H9" i="4"/>
  <c r="F9" i="4"/>
  <c r="D9" i="4"/>
  <c r="H7" i="4"/>
  <c r="F7" i="4"/>
  <c r="D7" i="4"/>
  <c r="H5" i="4"/>
  <c r="F5" i="4"/>
  <c r="D5" i="4"/>
  <c r="H3" i="4"/>
  <c r="F3" i="4"/>
  <c r="D3" i="4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S5" i="3"/>
  <c r="R5" i="3"/>
  <c r="Q5" i="3"/>
  <c r="P5" i="3"/>
  <c r="O5" i="3"/>
  <c r="N5" i="3"/>
  <c r="M5" i="3"/>
  <c r="H13" i="4" s="1"/>
  <c r="L5" i="3"/>
  <c r="K5" i="3"/>
  <c r="J5" i="3"/>
  <c r="I5" i="3"/>
  <c r="H5" i="3"/>
  <c r="G5" i="3"/>
  <c r="F5" i="3"/>
  <c r="E5" i="3"/>
  <c r="D5" i="3"/>
  <c r="C5" i="3"/>
  <c r="B5" i="3"/>
  <c r="S4" i="3"/>
  <c r="R4" i="3"/>
  <c r="Q4" i="3"/>
  <c r="P4" i="3"/>
  <c r="O4" i="3"/>
  <c r="D15" i="4" s="1"/>
  <c r="N4" i="3"/>
  <c r="M4" i="3"/>
  <c r="L4" i="3"/>
  <c r="K4" i="3"/>
  <c r="J4" i="3"/>
  <c r="I4" i="3"/>
  <c r="H4" i="3"/>
  <c r="G4" i="3"/>
  <c r="F4" i="3"/>
  <c r="E4" i="3"/>
  <c r="D4" i="3"/>
  <c r="C4" i="3"/>
  <c r="B4" i="3"/>
  <c r="S3" i="3"/>
  <c r="R3" i="3"/>
  <c r="Q3" i="3"/>
  <c r="D17" i="4" s="1"/>
  <c r="P3" i="3"/>
  <c r="O3" i="3"/>
  <c r="N3" i="3"/>
  <c r="M3" i="3"/>
  <c r="L3" i="3"/>
  <c r="H12" i="4" s="1"/>
  <c r="K3" i="3"/>
  <c r="J3" i="3"/>
  <c r="I3" i="3"/>
  <c r="H3" i="3"/>
  <c r="H8" i="4" s="1"/>
  <c r="G3" i="3"/>
  <c r="F3" i="3"/>
  <c r="E3" i="3"/>
  <c r="D3" i="3"/>
  <c r="H4" i="4" s="1"/>
  <c r="C3" i="3"/>
  <c r="B3" i="3"/>
  <c r="S2" i="3"/>
  <c r="H19" i="4" s="1"/>
  <c r="R2" i="3"/>
  <c r="F18" i="4" s="1"/>
  <c r="Q2" i="3"/>
  <c r="I17" i="4" s="1"/>
  <c r="P2" i="3"/>
  <c r="I16" i="4" s="1"/>
  <c r="O2" i="3"/>
  <c r="G15" i="4" s="1"/>
  <c r="N2" i="3"/>
  <c r="E14" i="4" s="1"/>
  <c r="C4" i="5" s="1"/>
  <c r="M2" i="3"/>
  <c r="I13" i="4" s="1"/>
  <c r="L2" i="3"/>
  <c r="I12" i="4" s="1"/>
  <c r="K2" i="3"/>
  <c r="G11" i="4" s="1"/>
  <c r="J2" i="3"/>
  <c r="F10" i="4" s="1"/>
  <c r="I2" i="3"/>
  <c r="I9" i="4" s="1"/>
  <c r="H2" i="3"/>
  <c r="I8" i="4" s="1"/>
  <c r="G2" i="3"/>
  <c r="G7" i="4" s="1"/>
  <c r="F2" i="3"/>
  <c r="E6" i="4" s="1"/>
  <c r="C8" i="5" s="1"/>
  <c r="E2" i="3"/>
  <c r="I5" i="4" s="1"/>
  <c r="D2" i="3"/>
  <c r="I4" i="4" s="1"/>
  <c r="C2" i="3"/>
  <c r="G3" i="4" s="1"/>
  <c r="B2" i="3"/>
  <c r="E2" i="4" s="1"/>
  <c r="C2" i="5" s="1"/>
  <c r="F8" i="5" l="1"/>
  <c r="B40" i="6"/>
  <c r="B2" i="6"/>
  <c r="B4" i="6"/>
  <c r="D2" i="4"/>
  <c r="D6" i="4"/>
  <c r="D14" i="4"/>
  <c r="F2" i="4"/>
  <c r="F6" i="4"/>
  <c r="F14" i="4"/>
  <c r="H15" i="4"/>
  <c r="G2" i="4"/>
  <c r="I3" i="4"/>
  <c r="E5" i="4"/>
  <c r="D5" i="5" s="1"/>
  <c r="C21" i="6" s="1"/>
  <c r="G6" i="4"/>
  <c r="I7" i="4"/>
  <c r="E9" i="4"/>
  <c r="D3" i="5" s="1"/>
  <c r="C3" i="6" s="1"/>
  <c r="G10" i="4"/>
  <c r="I11" i="4"/>
  <c r="E13" i="4"/>
  <c r="D9" i="5" s="1"/>
  <c r="C41" i="6" s="1"/>
  <c r="G14" i="4"/>
  <c r="I15" i="4"/>
  <c r="E17" i="4"/>
  <c r="D7" i="5" s="1"/>
  <c r="C23" i="6" s="1"/>
  <c r="G18" i="4"/>
  <c r="I19" i="4"/>
  <c r="D4" i="4"/>
  <c r="H18" i="4"/>
  <c r="H14" i="4"/>
  <c r="D16" i="4"/>
  <c r="I2" i="4"/>
  <c r="E4" i="4"/>
  <c r="C5" i="5" s="1"/>
  <c r="G5" i="4"/>
  <c r="I6" i="4"/>
  <c r="E8" i="4"/>
  <c r="C3" i="5" s="1"/>
  <c r="G9" i="4"/>
  <c r="I10" i="4"/>
  <c r="E12" i="4"/>
  <c r="C9" i="5" s="1"/>
  <c r="G13" i="4"/>
  <c r="I14" i="4"/>
  <c r="E16" i="4"/>
  <c r="C7" i="5" s="1"/>
  <c r="G17" i="4"/>
  <c r="I18" i="4"/>
  <c r="H6" i="4"/>
  <c r="D8" i="4"/>
  <c r="H10" i="4"/>
  <c r="F16" i="4"/>
  <c r="H17" i="4"/>
  <c r="D19" i="4"/>
  <c r="H2" i="4"/>
  <c r="D12" i="4"/>
  <c r="F4" i="4"/>
  <c r="F8" i="4"/>
  <c r="F12" i="4"/>
  <c r="E3" i="4"/>
  <c r="D2" i="5" s="1"/>
  <c r="C2" i="6" s="1"/>
  <c r="G4" i="4"/>
  <c r="E7" i="4"/>
  <c r="D8" i="5" s="1"/>
  <c r="C40" i="6" s="1"/>
  <c r="G8" i="4"/>
  <c r="E11" i="4"/>
  <c r="D6" i="5" s="1"/>
  <c r="C22" i="6" s="1"/>
  <c r="G12" i="4"/>
  <c r="E15" i="4"/>
  <c r="D4" i="5" s="1"/>
  <c r="C4" i="6" s="1"/>
  <c r="G16" i="4"/>
  <c r="E19" i="4"/>
  <c r="D10" i="5" s="1"/>
  <c r="C42" i="6" s="1"/>
  <c r="H16" i="4"/>
  <c r="D18" i="4"/>
  <c r="E10" i="4"/>
  <c r="C6" i="5" s="1"/>
  <c r="E18" i="4"/>
  <c r="C10" i="5" s="1"/>
  <c r="G19" i="4"/>
  <c r="D10" i="4"/>
  <c r="E4" i="5" l="1"/>
  <c r="F4" i="5"/>
  <c r="B42" i="6"/>
  <c r="F10" i="5"/>
  <c r="E10" i="5"/>
  <c r="E3" i="5"/>
  <c r="B3" i="6"/>
  <c r="F3" i="5"/>
  <c r="E2" i="5"/>
  <c r="F6" i="5"/>
  <c r="E6" i="5"/>
  <c r="B22" i="6"/>
  <c r="F2" i="5"/>
  <c r="E7" i="5"/>
  <c r="B23" i="6"/>
  <c r="F7" i="5"/>
  <c r="B21" i="6"/>
  <c r="E5" i="5"/>
  <c r="F5" i="5"/>
  <c r="E9" i="5"/>
  <c r="B41" i="6"/>
  <c r="F9" i="5"/>
  <c r="E8" i="5"/>
</calcChain>
</file>

<file path=xl/sharedStrings.xml><?xml version="1.0" encoding="utf-8"?>
<sst xmlns="http://schemas.openxmlformats.org/spreadsheetml/2006/main" count="1179" uniqueCount="49">
  <si>
    <t>algoritmo</t>
  </si>
  <si>
    <t>n</t>
  </si>
  <si>
    <t>patron</t>
  </si>
  <si>
    <t>repeticion</t>
  </si>
  <si>
    <t>tiempo_ms</t>
  </si>
  <si>
    <t>comparaciones</t>
  </si>
  <si>
    <t>intercambios</t>
  </si>
  <si>
    <t>movimientos</t>
  </si>
  <si>
    <t>profundidad_recursion</t>
  </si>
  <si>
    <t>semilla</t>
  </si>
  <si>
    <t>commit_hash</t>
  </si>
  <si>
    <t>Insercion</t>
  </si>
  <si>
    <t>918a564</t>
  </si>
  <si>
    <t>QuickSort</t>
  </si>
  <si>
    <t>Repeticion</t>
  </si>
  <si>
    <t>Ins_1000_Ale</t>
  </si>
  <si>
    <t>Qui_1000_Ale</t>
  </si>
  <si>
    <t>Ins_1000_Asc</t>
  </si>
  <si>
    <t>Qui_1000_Asc</t>
  </si>
  <si>
    <t>Ins_1000_Des</t>
  </si>
  <si>
    <t>Qui_1000_Des</t>
  </si>
  <si>
    <t>Ins_5000_Ale</t>
  </si>
  <si>
    <t>Qui_5000_Ale</t>
  </si>
  <si>
    <t>Ins_5000_Asc</t>
  </si>
  <si>
    <t>Qui_5000_Asc</t>
  </si>
  <si>
    <t>Ins_5000_Des</t>
  </si>
  <si>
    <t>Qui_5000_Des</t>
  </si>
  <si>
    <t>Ins_10000_Ale</t>
  </si>
  <si>
    <t>Qui_10000_Ale</t>
  </si>
  <si>
    <t>Ins_10000_Asc</t>
  </si>
  <si>
    <t>Qui_10000_Asc</t>
  </si>
  <si>
    <t>Ins_10000_Des</t>
  </si>
  <si>
    <t>Qui_10000_Des</t>
  </si>
  <si>
    <t>Algoritmo</t>
  </si>
  <si>
    <t>Tamano</t>
  </si>
  <si>
    <t>Patron</t>
  </si>
  <si>
    <t>Pruebas</t>
  </si>
  <si>
    <t>Promedio_ms</t>
  </si>
  <si>
    <t>Mediana_ms</t>
  </si>
  <si>
    <t>Desv_est_ms</t>
  </si>
  <si>
    <t>Min_ms</t>
  </si>
  <si>
    <t>Max_ms</t>
  </si>
  <si>
    <t>Aleatorio</t>
  </si>
  <si>
    <t>Ascendente</t>
  </si>
  <si>
    <t>Descendente</t>
  </si>
  <si>
    <t>Insercion_ms</t>
  </si>
  <si>
    <t>QuickSort_ms</t>
  </si>
  <si>
    <t>Relacion_I_Q</t>
  </si>
  <si>
    <t>Menor_tiempo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</si>
</sst>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>
    <font>
      <sz val="11"/>
      <name val="Carlito"/>
    </font>
    <font>
      <sz val="11"/>
      <color theme="1"/>
      <name val="Calibri"/>
      <family val="2"/>
      <scheme val="minor"/>
    </font>
    <font>
      <b/>
      <sz val="11"/>
      <color rgb="FFFFFFFF"/>
      <name val="Carlito"/>
    </font>
    <font>
      <b/>
      <sz val="11"/>
      <color theme="1"/>
      <name val="Calibri"/>
      <family val="2"/>
      <scheme val="minor"/>
    </font>
    <font>
      <b/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3555"/>
      </patternFill>
    </fill>
    <fill>
      <patternFill patternType="solid">
        <fgColor rgb="FFE9F0F7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11">
    <xf numFmtId="0" fontId="0" fillId="0" borderId="0" xfId="0"/>
    <xf numFmtId="0" fontId="2" fillId="2" borderId="0" xfId="0" applyNumberFormat="1" applyFont="1" applyFill="1" applyBorder="1" applyAlignment="1">
      <alignment vertical="center"/>
    </xf>
    <xf numFmtId="164" fontId="0" fillId="0" borderId="0" xfId="0" applyNumberFormat="1" applyFont="1" applyFill="1" applyBorder="1"/>
    <xf numFmtId="0" fontId="0" fillId="3" borderId="0" xfId="0" applyNumberFormat="1" applyFont="1" applyFill="1" applyBorder="1"/>
    <xf numFmtId="164" fontId="0" fillId="3" borderId="0" xfId="0" applyNumberFormat="1" applyFont="1" applyFill="1" applyBorder="1"/>
    <xf numFmtId="0" fontId="4" fillId="5" borderId="0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/>
    </xf>
    <xf numFmtId="164" fontId="0" fillId="6" borderId="0" xfId="0" applyNumberFormat="1" applyFont="1" applyFill="1" applyBorder="1" applyAlignment="1">
      <alignment horizontal="center"/>
    </xf>
    <xf numFmtId="0" fontId="3" fillId="5" borderId="0" xfId="1" applyNumberFormat="1" applyFont="1" applyFill="1" applyBorder="1" applyAlignment="1">
      <alignment horizontal="center" vertical="center"/>
    </xf>
    <xf numFmtId="0" fontId="1" fillId="6" borderId="0" xfId="1" applyFill="1" applyAlignment="1">
      <alignment horizontal="center"/>
    </xf>
    <xf numFmtId="164" fontId="1" fillId="6" borderId="0" xfId="1" applyNumberFormat="1" applyFill="1" applyBorder="1" applyAlignment="1">
      <alignment horizontal="center"/>
    </xf>
  </cellXfs>
  <cellStyles count="2">
    <cellStyle name="20% - Énfasis2" xfId="1" builtinId="3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MX">
                <a:solidFill>
                  <a:srgbClr val="FFFF00"/>
                </a:solidFill>
                <a:latin typeface="Aharoni" panose="02010803020104030203" pitchFamily="2" charset="-79"/>
                <a:cs typeface="Aharoni" panose="02010803020104030203" pitchFamily="2" charset="-79"/>
              </a:rPr>
              <a:t>Tiempo aleatorio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/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Insercion_ms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Graficas!$A$2:$A$4</c:f>
              <c:numCache>
                <c:formatCode>General</c:formatCode>
                <c:ptCount val="3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</c:numCache>
            </c:numRef>
          </c:cat>
          <c:val>
            <c:numRef>
              <c:f>Graficas!$B$2:$B$4</c:f>
              <c:numCache>
                <c:formatCode>0.0000</c:formatCode>
                <c:ptCount val="3"/>
                <c:pt idx="0">
                  <c:v>0.92133333333333312</c:v>
                </c:pt>
                <c:pt idx="1">
                  <c:v>24.26879666666667</c:v>
                </c:pt>
                <c:pt idx="2">
                  <c:v>82.221299999999999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CF-4DC9-BE27-3E418772FF12}"/>
            </c:ext>
          </c:extLst>
        </c:ser>
        <c:ser>
          <c:idx val="1"/>
          <c:order val="1"/>
          <c:tx>
            <c:v>QuickSort_ms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Graficas!$A$2:$A$4</c:f>
              <c:numCache>
                <c:formatCode>General</c:formatCode>
                <c:ptCount val="3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</c:numCache>
            </c:numRef>
          </c:cat>
          <c:val>
            <c:numRef>
              <c:f>Graficas!$C$2:$C$4</c:f>
              <c:numCache>
                <c:formatCode>0.0000</c:formatCode>
                <c:ptCount val="3"/>
                <c:pt idx="0">
                  <c:v>9.4586666666666652E-2</c:v>
                </c:pt>
                <c:pt idx="1">
                  <c:v>0.58330666666666664</c:v>
                </c:pt>
                <c:pt idx="2">
                  <c:v>1.0387966666666668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CF-4DC9-BE27-3E418772F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65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MX">
                <a:solidFill>
                  <a:srgbClr val="FFFF00"/>
                </a:solidFill>
                <a:latin typeface="Aharoni" panose="02010803020104030203" pitchFamily="2" charset="-79"/>
                <a:cs typeface="Aharoni" panose="02010803020104030203" pitchFamily="2" charset="-79"/>
              </a:rPr>
              <a:t>Tiempo ascendente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/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Insercion_ms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Graficas!$A$21:$A$23</c:f>
              <c:numCache>
                <c:formatCode>General</c:formatCode>
                <c:ptCount val="3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</c:numCache>
            </c:numRef>
          </c:cat>
          <c:val>
            <c:numRef>
              <c:f>Graficas!$B$21:$B$23</c:f>
              <c:numCache>
                <c:formatCode>0.0000</c:formatCode>
                <c:ptCount val="3"/>
                <c:pt idx="0">
                  <c:v>6.0333333333333333E-3</c:v>
                </c:pt>
                <c:pt idx="1">
                  <c:v>2.6980000000000004E-2</c:v>
                </c:pt>
                <c:pt idx="2">
                  <c:v>8.037666666666668E-2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11-4BA7-B6A0-6B90C4257E25}"/>
            </c:ext>
          </c:extLst>
        </c:ser>
        <c:ser>
          <c:idx val="1"/>
          <c:order val="1"/>
          <c:tx>
            <c:v>QuickSort_ms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Graficas!$A$21:$A$23</c:f>
              <c:numCache>
                <c:formatCode>General</c:formatCode>
                <c:ptCount val="3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</c:numCache>
            </c:numRef>
          </c:cat>
          <c:val>
            <c:numRef>
              <c:f>Graficas!$C$21:$C$23</c:f>
              <c:numCache>
                <c:formatCode>0.0000</c:formatCode>
                <c:ptCount val="3"/>
                <c:pt idx="0">
                  <c:v>2.5496666666666661E-2</c:v>
                </c:pt>
                <c:pt idx="1">
                  <c:v>0.12918333333333337</c:v>
                </c:pt>
                <c:pt idx="2">
                  <c:v>0.40638666666666673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11-4BA7-B6A0-6B90C4257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65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MX"/>
              <a:t>Tiempo promedio - descendente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/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Insercion_ms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Graficas!$A$40:$A$42</c:f>
              <c:numCache>
                <c:formatCode>General</c:formatCode>
                <c:ptCount val="3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</c:numCache>
            </c:numRef>
          </c:cat>
          <c:val>
            <c:numRef>
              <c:f>Graficas!$B$40:$B$42</c:f>
              <c:numCache>
                <c:formatCode>0.0000</c:formatCode>
                <c:ptCount val="3"/>
                <c:pt idx="0">
                  <c:v>1.7327400000000004</c:v>
                </c:pt>
                <c:pt idx="1">
                  <c:v>39.380169999999993</c:v>
                </c:pt>
                <c:pt idx="2">
                  <c:v>160.71900000000002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B3-4317-ADA1-CC8BC2EA8F2B}"/>
            </c:ext>
          </c:extLst>
        </c:ser>
        <c:ser>
          <c:idx val="1"/>
          <c:order val="1"/>
          <c:tx>
            <c:v>QuickSort_ms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Graficas!$A$40:$A$42</c:f>
              <c:numCache>
                <c:formatCode>General</c:formatCode>
                <c:ptCount val="3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</c:numCache>
            </c:numRef>
          </c:cat>
          <c:val>
            <c:numRef>
              <c:f>Graficas!$C$40:$C$42</c:f>
              <c:numCache>
                <c:formatCode>0.0000</c:formatCode>
                <c:ptCount val="3"/>
                <c:pt idx="0">
                  <c:v>2.4183333333333328E-2</c:v>
                </c:pt>
                <c:pt idx="1">
                  <c:v>0.13641</c:v>
                </c:pt>
                <c:pt idx="2">
                  <c:v>0.29237333333333332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B3-4317-ADA1-CC8BC2EA8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65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14</xdr:col>
      <xdr:colOff>0</xdr:colOff>
      <xdr:row>35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38</xdr:row>
      <xdr:rowOff>0</xdr:rowOff>
    </xdr:from>
    <xdr:to>
      <xdr:col>14</xdr:col>
      <xdr:colOff>0</xdr:colOff>
      <xdr:row>54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41"/>
  <sheetViews>
    <sheetView workbookViewId="0">
      <pane ySplit="1" topLeftCell="A311" activePane="bottomLeft" state="frozen"/>
      <selection pane="bottomLeft"/>
    </sheetView>
  </sheetViews>
  <sheetFormatPr baseColWidth="10" defaultColWidth="9" defaultRowHeight="14.25"/>
  <cols>
    <col min="1" max="1" width="15" customWidth="1"/>
    <col min="2" max="4" width="13" customWidth="1"/>
    <col min="5" max="9" width="19" customWidth="1"/>
    <col min="10" max="11" width="18" customWidth="1"/>
  </cols>
  <sheetData>
    <row r="1" spans="1:11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0.100000000000001" customHeight="1">
      <c r="A2" t="s">
        <v>11</v>
      </c>
      <c r="B2">
        <v>1000</v>
      </c>
      <c r="C2">
        <v>2</v>
      </c>
      <c r="D2">
        <v>1</v>
      </c>
      <c r="E2" s="2">
        <v>1.1357999999999999</v>
      </c>
      <c r="F2">
        <v>237922</v>
      </c>
      <c r="G2">
        <v>0</v>
      </c>
      <c r="H2">
        <v>237928</v>
      </c>
      <c r="I2">
        <v>0</v>
      </c>
      <c r="J2">
        <v>12345</v>
      </c>
      <c r="K2" t="s">
        <v>12</v>
      </c>
    </row>
    <row r="3" spans="1:11" ht="20.100000000000001" customHeight="1">
      <c r="A3" t="s">
        <v>13</v>
      </c>
      <c r="B3">
        <v>1000</v>
      </c>
      <c r="C3">
        <v>2</v>
      </c>
      <c r="D3">
        <v>1</v>
      </c>
      <c r="E3" s="2">
        <v>0.1268</v>
      </c>
      <c r="F3">
        <v>13212</v>
      </c>
      <c r="G3">
        <v>2346</v>
      </c>
      <c r="H3">
        <v>7038</v>
      </c>
      <c r="I3">
        <v>21</v>
      </c>
      <c r="J3">
        <v>12345</v>
      </c>
      <c r="K3" t="s">
        <v>12</v>
      </c>
    </row>
    <row r="4" spans="1:11" ht="20.100000000000001" customHeight="1">
      <c r="A4" t="s">
        <v>11</v>
      </c>
      <c r="B4">
        <v>1000</v>
      </c>
      <c r="C4">
        <v>2</v>
      </c>
      <c r="D4">
        <v>2</v>
      </c>
      <c r="E4" s="2">
        <v>1.1883999999999999</v>
      </c>
      <c r="F4">
        <v>249309</v>
      </c>
      <c r="G4">
        <v>0</v>
      </c>
      <c r="H4">
        <v>249313</v>
      </c>
      <c r="I4">
        <v>0</v>
      </c>
      <c r="J4">
        <v>12345</v>
      </c>
      <c r="K4" t="s">
        <v>12</v>
      </c>
    </row>
    <row r="5" spans="1:11" ht="20.100000000000001" customHeight="1">
      <c r="A5" t="s">
        <v>13</v>
      </c>
      <c r="B5">
        <v>1000</v>
      </c>
      <c r="C5">
        <v>2</v>
      </c>
      <c r="D5">
        <v>2</v>
      </c>
      <c r="E5" s="2">
        <v>0.1129</v>
      </c>
      <c r="F5">
        <v>13452</v>
      </c>
      <c r="G5">
        <v>2309</v>
      </c>
      <c r="H5">
        <v>6927</v>
      </c>
      <c r="I5">
        <v>20</v>
      </c>
      <c r="J5">
        <v>12345</v>
      </c>
      <c r="K5" t="s">
        <v>12</v>
      </c>
    </row>
    <row r="6" spans="1:11" ht="20.100000000000001" customHeight="1">
      <c r="A6" t="s">
        <v>11</v>
      </c>
      <c r="B6">
        <v>1000</v>
      </c>
      <c r="C6">
        <v>2</v>
      </c>
      <c r="D6">
        <v>3</v>
      </c>
      <c r="E6" s="2">
        <v>1.2193000000000001</v>
      </c>
      <c r="F6">
        <v>256999</v>
      </c>
      <c r="G6">
        <v>0</v>
      </c>
      <c r="H6">
        <v>257004</v>
      </c>
      <c r="I6">
        <v>0</v>
      </c>
      <c r="J6">
        <v>12345</v>
      </c>
      <c r="K6" t="s">
        <v>12</v>
      </c>
    </row>
    <row r="7" spans="1:11" ht="20.100000000000001" customHeight="1">
      <c r="A7" t="s">
        <v>13</v>
      </c>
      <c r="B7">
        <v>1000</v>
      </c>
      <c r="C7">
        <v>2</v>
      </c>
      <c r="D7">
        <v>3</v>
      </c>
      <c r="E7" s="2">
        <v>0.11409999999999999</v>
      </c>
      <c r="F7">
        <v>12828</v>
      </c>
      <c r="G7">
        <v>2341</v>
      </c>
      <c r="H7">
        <v>7023</v>
      </c>
      <c r="I7">
        <v>21</v>
      </c>
      <c r="J7">
        <v>12345</v>
      </c>
      <c r="K7" t="s">
        <v>12</v>
      </c>
    </row>
    <row r="8" spans="1:11" ht="20.100000000000001" customHeight="1">
      <c r="A8" t="s">
        <v>11</v>
      </c>
      <c r="B8">
        <v>1000</v>
      </c>
      <c r="C8">
        <v>2</v>
      </c>
      <c r="D8">
        <v>4</v>
      </c>
      <c r="E8" s="2">
        <v>0.96379999999999999</v>
      </c>
      <c r="F8">
        <v>244004</v>
      </c>
      <c r="G8">
        <v>0</v>
      </c>
      <c r="H8">
        <v>244011</v>
      </c>
      <c r="I8">
        <v>0</v>
      </c>
      <c r="J8">
        <v>12345</v>
      </c>
      <c r="K8" t="s">
        <v>12</v>
      </c>
    </row>
    <row r="9" spans="1:11" ht="20.100000000000001" customHeight="1">
      <c r="A9" t="s">
        <v>13</v>
      </c>
      <c r="B9">
        <v>1000</v>
      </c>
      <c r="C9">
        <v>2</v>
      </c>
      <c r="D9">
        <v>4</v>
      </c>
      <c r="E9" s="2">
        <v>9.3700000000000006E-2</v>
      </c>
      <c r="F9">
        <v>13473</v>
      </c>
      <c r="G9">
        <v>2288</v>
      </c>
      <c r="H9">
        <v>6864</v>
      </c>
      <c r="I9">
        <v>20</v>
      </c>
      <c r="J9">
        <v>12345</v>
      </c>
      <c r="K9" t="s">
        <v>12</v>
      </c>
    </row>
    <row r="10" spans="1:11" ht="20.100000000000001" customHeight="1">
      <c r="A10" t="s">
        <v>11</v>
      </c>
      <c r="B10">
        <v>1000</v>
      </c>
      <c r="C10">
        <v>2</v>
      </c>
      <c r="D10">
        <v>5</v>
      </c>
      <c r="E10" s="2">
        <v>0.94789999999999996</v>
      </c>
      <c r="F10">
        <v>255286</v>
      </c>
      <c r="G10">
        <v>0</v>
      </c>
      <c r="H10">
        <v>255296</v>
      </c>
      <c r="I10">
        <v>0</v>
      </c>
      <c r="J10">
        <v>12345</v>
      </c>
      <c r="K10" t="s">
        <v>12</v>
      </c>
    </row>
    <row r="11" spans="1:11" ht="20.100000000000001" customHeight="1">
      <c r="A11" t="s">
        <v>13</v>
      </c>
      <c r="B11">
        <v>1000</v>
      </c>
      <c r="C11">
        <v>2</v>
      </c>
      <c r="D11">
        <v>5</v>
      </c>
      <c r="E11" s="2">
        <v>9.64E-2</v>
      </c>
      <c r="F11">
        <v>12956</v>
      </c>
      <c r="G11">
        <v>2355</v>
      </c>
      <c r="H11">
        <v>7065</v>
      </c>
      <c r="I11">
        <v>22</v>
      </c>
      <c r="J11">
        <v>12345</v>
      </c>
      <c r="K11" t="s">
        <v>12</v>
      </c>
    </row>
    <row r="12" spans="1:11" ht="20.100000000000001" customHeight="1">
      <c r="A12" t="s">
        <v>11</v>
      </c>
      <c r="B12">
        <v>1000</v>
      </c>
      <c r="C12">
        <v>2</v>
      </c>
      <c r="D12">
        <v>6</v>
      </c>
      <c r="E12" s="2">
        <v>1.3056000000000001</v>
      </c>
      <c r="F12">
        <v>254649</v>
      </c>
      <c r="G12">
        <v>0</v>
      </c>
      <c r="H12">
        <v>254653</v>
      </c>
      <c r="I12">
        <v>0</v>
      </c>
      <c r="J12">
        <v>12345</v>
      </c>
      <c r="K12" t="s">
        <v>12</v>
      </c>
    </row>
    <row r="13" spans="1:11" ht="20.100000000000001" customHeight="1">
      <c r="A13" t="s">
        <v>13</v>
      </c>
      <c r="B13">
        <v>1000</v>
      </c>
      <c r="C13">
        <v>2</v>
      </c>
      <c r="D13">
        <v>6</v>
      </c>
      <c r="E13" s="2">
        <v>0.15160000000000001</v>
      </c>
      <c r="F13">
        <v>13835</v>
      </c>
      <c r="G13">
        <v>2358</v>
      </c>
      <c r="H13">
        <v>7074</v>
      </c>
      <c r="I13">
        <v>21</v>
      </c>
      <c r="J13">
        <v>12345</v>
      </c>
      <c r="K13" t="s">
        <v>12</v>
      </c>
    </row>
    <row r="14" spans="1:11" ht="20.100000000000001" customHeight="1">
      <c r="A14" t="s">
        <v>11</v>
      </c>
      <c r="B14">
        <v>1000</v>
      </c>
      <c r="C14">
        <v>2</v>
      </c>
      <c r="D14">
        <v>7</v>
      </c>
      <c r="E14" s="2">
        <v>1.165</v>
      </c>
      <c r="F14">
        <v>247858</v>
      </c>
      <c r="G14">
        <v>0</v>
      </c>
      <c r="H14">
        <v>247862</v>
      </c>
      <c r="I14">
        <v>0</v>
      </c>
      <c r="J14">
        <v>12345</v>
      </c>
      <c r="K14" t="s">
        <v>12</v>
      </c>
    </row>
    <row r="15" spans="1:11" ht="20.100000000000001" customHeight="1">
      <c r="A15" t="s">
        <v>13</v>
      </c>
      <c r="B15">
        <v>1000</v>
      </c>
      <c r="C15">
        <v>2</v>
      </c>
      <c r="D15">
        <v>7</v>
      </c>
      <c r="E15" s="2">
        <v>0.11849999999999999</v>
      </c>
      <c r="F15">
        <v>13595</v>
      </c>
      <c r="G15">
        <v>2311</v>
      </c>
      <c r="H15">
        <v>6933</v>
      </c>
      <c r="I15">
        <v>23</v>
      </c>
      <c r="J15">
        <v>12345</v>
      </c>
      <c r="K15" t="s">
        <v>12</v>
      </c>
    </row>
    <row r="16" spans="1:11" ht="20.100000000000001" customHeight="1">
      <c r="A16" t="s">
        <v>11</v>
      </c>
      <c r="B16">
        <v>1000</v>
      </c>
      <c r="C16">
        <v>2</v>
      </c>
      <c r="D16">
        <v>8</v>
      </c>
      <c r="E16" s="2">
        <v>1.1380999999999999</v>
      </c>
      <c r="F16">
        <v>251842</v>
      </c>
      <c r="G16">
        <v>0</v>
      </c>
      <c r="H16">
        <v>251849</v>
      </c>
      <c r="I16">
        <v>0</v>
      </c>
      <c r="J16">
        <v>12345</v>
      </c>
      <c r="K16" t="s">
        <v>12</v>
      </c>
    </row>
    <row r="17" spans="1:11" ht="20.100000000000001" customHeight="1">
      <c r="A17" t="s">
        <v>13</v>
      </c>
      <c r="B17">
        <v>1000</v>
      </c>
      <c r="C17">
        <v>2</v>
      </c>
      <c r="D17">
        <v>8</v>
      </c>
      <c r="E17" s="2">
        <v>0.1181</v>
      </c>
      <c r="F17">
        <v>13171</v>
      </c>
      <c r="G17">
        <v>2346</v>
      </c>
      <c r="H17">
        <v>7038</v>
      </c>
      <c r="I17">
        <v>23</v>
      </c>
      <c r="J17">
        <v>12345</v>
      </c>
      <c r="K17" t="s">
        <v>12</v>
      </c>
    </row>
    <row r="18" spans="1:11" ht="20.100000000000001" customHeight="1">
      <c r="A18" t="s">
        <v>11</v>
      </c>
      <c r="B18">
        <v>1000</v>
      </c>
      <c r="C18">
        <v>2</v>
      </c>
      <c r="D18">
        <v>9</v>
      </c>
      <c r="E18" s="2">
        <v>0.72519999999999996</v>
      </c>
      <c r="F18">
        <v>243578</v>
      </c>
      <c r="G18">
        <v>0</v>
      </c>
      <c r="H18">
        <v>243584</v>
      </c>
      <c r="I18">
        <v>0</v>
      </c>
      <c r="J18">
        <v>12345</v>
      </c>
      <c r="K18" t="s">
        <v>12</v>
      </c>
    </row>
    <row r="19" spans="1:11" ht="20.100000000000001" customHeight="1">
      <c r="A19" t="s">
        <v>13</v>
      </c>
      <c r="B19">
        <v>1000</v>
      </c>
      <c r="C19">
        <v>2</v>
      </c>
      <c r="D19">
        <v>9</v>
      </c>
      <c r="E19" s="2">
        <v>7.7799999999999994E-2</v>
      </c>
      <c r="F19">
        <v>12772</v>
      </c>
      <c r="G19">
        <v>2299</v>
      </c>
      <c r="H19">
        <v>6897</v>
      </c>
      <c r="I19">
        <v>20</v>
      </c>
      <c r="J19">
        <v>12345</v>
      </c>
      <c r="K19" t="s">
        <v>12</v>
      </c>
    </row>
    <row r="20" spans="1:11" ht="20.100000000000001" customHeight="1">
      <c r="A20" t="s">
        <v>11</v>
      </c>
      <c r="B20">
        <v>1000</v>
      </c>
      <c r="C20">
        <v>2</v>
      </c>
      <c r="D20">
        <v>10</v>
      </c>
      <c r="E20" s="2">
        <v>0.72499999999999998</v>
      </c>
      <c r="F20">
        <v>243688</v>
      </c>
      <c r="G20">
        <v>0</v>
      </c>
      <c r="H20">
        <v>243695</v>
      </c>
      <c r="I20">
        <v>0</v>
      </c>
      <c r="J20">
        <v>12345</v>
      </c>
      <c r="K20" t="s">
        <v>12</v>
      </c>
    </row>
    <row r="21" spans="1:11" ht="20.100000000000001" customHeight="1">
      <c r="A21" t="s">
        <v>13</v>
      </c>
      <c r="B21">
        <v>1000</v>
      </c>
      <c r="C21">
        <v>2</v>
      </c>
      <c r="D21">
        <v>10</v>
      </c>
      <c r="E21" s="2">
        <v>7.85E-2</v>
      </c>
      <c r="F21">
        <v>12520</v>
      </c>
      <c r="G21">
        <v>2373</v>
      </c>
      <c r="H21">
        <v>7119</v>
      </c>
      <c r="I21">
        <v>18</v>
      </c>
      <c r="J21">
        <v>12345</v>
      </c>
      <c r="K21" t="s">
        <v>12</v>
      </c>
    </row>
    <row r="22" spans="1:11" ht="20.100000000000001" customHeight="1">
      <c r="A22" t="s">
        <v>11</v>
      </c>
      <c r="B22">
        <v>1000</v>
      </c>
      <c r="C22">
        <v>2</v>
      </c>
      <c r="D22">
        <v>11</v>
      </c>
      <c r="E22" s="2">
        <v>0.79069999999999996</v>
      </c>
      <c r="F22">
        <v>257532</v>
      </c>
      <c r="G22">
        <v>0</v>
      </c>
      <c r="H22">
        <v>257541</v>
      </c>
      <c r="I22">
        <v>0</v>
      </c>
      <c r="J22">
        <v>12345</v>
      </c>
      <c r="K22" t="s">
        <v>12</v>
      </c>
    </row>
    <row r="23" spans="1:11" ht="20.100000000000001" customHeight="1">
      <c r="A23" t="s">
        <v>13</v>
      </c>
      <c r="B23">
        <v>1000</v>
      </c>
      <c r="C23">
        <v>2</v>
      </c>
      <c r="D23">
        <v>11</v>
      </c>
      <c r="E23" s="2">
        <v>7.6300000000000007E-2</v>
      </c>
      <c r="F23">
        <v>13114</v>
      </c>
      <c r="G23">
        <v>2306</v>
      </c>
      <c r="H23">
        <v>6918</v>
      </c>
      <c r="I23">
        <v>19</v>
      </c>
      <c r="J23">
        <v>12345</v>
      </c>
      <c r="K23" t="s">
        <v>12</v>
      </c>
    </row>
    <row r="24" spans="1:11" ht="20.100000000000001" customHeight="1">
      <c r="A24" t="s">
        <v>11</v>
      </c>
      <c r="B24">
        <v>1000</v>
      </c>
      <c r="C24">
        <v>2</v>
      </c>
      <c r="D24">
        <v>12</v>
      </c>
      <c r="E24" s="2">
        <v>0.73799999999999999</v>
      </c>
      <c r="F24">
        <v>248059</v>
      </c>
      <c r="G24">
        <v>0</v>
      </c>
      <c r="H24">
        <v>248067</v>
      </c>
      <c r="I24">
        <v>0</v>
      </c>
      <c r="J24">
        <v>12345</v>
      </c>
      <c r="K24" t="s">
        <v>12</v>
      </c>
    </row>
    <row r="25" spans="1:11" ht="20.100000000000001" customHeight="1">
      <c r="A25" t="s">
        <v>13</v>
      </c>
      <c r="B25">
        <v>1000</v>
      </c>
      <c r="C25">
        <v>2</v>
      </c>
      <c r="D25">
        <v>12</v>
      </c>
      <c r="E25" s="2">
        <v>7.6499999999999999E-2</v>
      </c>
      <c r="F25">
        <v>13605</v>
      </c>
      <c r="G25">
        <v>2317</v>
      </c>
      <c r="H25">
        <v>6951</v>
      </c>
      <c r="I25">
        <v>29</v>
      </c>
      <c r="J25">
        <v>12345</v>
      </c>
      <c r="K25" t="s">
        <v>12</v>
      </c>
    </row>
    <row r="26" spans="1:11" ht="20.100000000000001" customHeight="1">
      <c r="A26" t="s">
        <v>11</v>
      </c>
      <c r="B26">
        <v>1000</v>
      </c>
      <c r="C26">
        <v>2</v>
      </c>
      <c r="D26">
        <v>13</v>
      </c>
      <c r="E26" s="2">
        <v>0.74460000000000004</v>
      </c>
      <c r="F26">
        <v>249568</v>
      </c>
      <c r="G26">
        <v>0</v>
      </c>
      <c r="H26">
        <v>249579</v>
      </c>
      <c r="I26">
        <v>0</v>
      </c>
      <c r="J26">
        <v>12345</v>
      </c>
      <c r="K26" t="s">
        <v>12</v>
      </c>
    </row>
    <row r="27" spans="1:11" ht="20.100000000000001" customHeight="1">
      <c r="A27" t="s">
        <v>13</v>
      </c>
      <c r="B27">
        <v>1000</v>
      </c>
      <c r="C27">
        <v>2</v>
      </c>
      <c r="D27">
        <v>13</v>
      </c>
      <c r="E27" s="2">
        <v>7.6499999999999999E-2</v>
      </c>
      <c r="F27">
        <v>13169</v>
      </c>
      <c r="G27">
        <v>2321</v>
      </c>
      <c r="H27">
        <v>6963</v>
      </c>
      <c r="I27">
        <v>23</v>
      </c>
      <c r="J27">
        <v>12345</v>
      </c>
      <c r="K27" t="s">
        <v>12</v>
      </c>
    </row>
    <row r="28" spans="1:11" ht="20.100000000000001" customHeight="1">
      <c r="A28" t="s">
        <v>11</v>
      </c>
      <c r="B28">
        <v>1000</v>
      </c>
      <c r="C28">
        <v>2</v>
      </c>
      <c r="D28">
        <v>14</v>
      </c>
      <c r="E28" s="2">
        <v>0.73970000000000002</v>
      </c>
      <c r="F28">
        <v>248654</v>
      </c>
      <c r="G28">
        <v>0</v>
      </c>
      <c r="H28">
        <v>248663</v>
      </c>
      <c r="I28">
        <v>0</v>
      </c>
      <c r="J28">
        <v>12345</v>
      </c>
      <c r="K28" t="s">
        <v>12</v>
      </c>
    </row>
    <row r="29" spans="1:11" ht="20.100000000000001" customHeight="1">
      <c r="A29" t="s">
        <v>13</v>
      </c>
      <c r="B29">
        <v>1000</v>
      </c>
      <c r="C29">
        <v>2</v>
      </c>
      <c r="D29">
        <v>14</v>
      </c>
      <c r="E29" s="2">
        <v>7.6100000000000001E-2</v>
      </c>
      <c r="F29">
        <v>14091</v>
      </c>
      <c r="G29">
        <v>2321</v>
      </c>
      <c r="H29">
        <v>6963</v>
      </c>
      <c r="I29">
        <v>24</v>
      </c>
      <c r="J29">
        <v>12345</v>
      </c>
      <c r="K29" t="s">
        <v>12</v>
      </c>
    </row>
    <row r="30" spans="1:11" ht="20.100000000000001" customHeight="1">
      <c r="A30" t="s">
        <v>11</v>
      </c>
      <c r="B30">
        <v>1000</v>
      </c>
      <c r="C30">
        <v>2</v>
      </c>
      <c r="D30">
        <v>15</v>
      </c>
      <c r="E30" s="2">
        <v>0.75360000000000005</v>
      </c>
      <c r="F30">
        <v>252999</v>
      </c>
      <c r="G30">
        <v>0</v>
      </c>
      <c r="H30">
        <v>253010</v>
      </c>
      <c r="I30">
        <v>0</v>
      </c>
      <c r="J30">
        <v>12345</v>
      </c>
      <c r="K30" t="s">
        <v>12</v>
      </c>
    </row>
    <row r="31" spans="1:11" ht="20.100000000000001" customHeight="1">
      <c r="A31" t="s">
        <v>13</v>
      </c>
      <c r="B31">
        <v>1000</v>
      </c>
      <c r="C31">
        <v>2</v>
      </c>
      <c r="D31">
        <v>15</v>
      </c>
      <c r="E31" s="2">
        <v>7.6399999999999996E-2</v>
      </c>
      <c r="F31">
        <v>13315</v>
      </c>
      <c r="G31">
        <v>2364</v>
      </c>
      <c r="H31">
        <v>7092</v>
      </c>
      <c r="I31">
        <v>22</v>
      </c>
      <c r="J31">
        <v>12345</v>
      </c>
      <c r="K31" t="s">
        <v>12</v>
      </c>
    </row>
    <row r="32" spans="1:11" ht="20.100000000000001" customHeight="1">
      <c r="A32" t="s">
        <v>11</v>
      </c>
      <c r="B32">
        <v>1000</v>
      </c>
      <c r="C32">
        <v>2</v>
      </c>
      <c r="D32">
        <v>16</v>
      </c>
      <c r="E32" s="2">
        <v>0.7782</v>
      </c>
      <c r="F32">
        <v>261739</v>
      </c>
      <c r="G32">
        <v>0</v>
      </c>
      <c r="H32">
        <v>261750</v>
      </c>
      <c r="I32">
        <v>0</v>
      </c>
      <c r="J32">
        <v>12345</v>
      </c>
      <c r="K32" t="s">
        <v>12</v>
      </c>
    </row>
    <row r="33" spans="1:11" ht="20.100000000000001" customHeight="1">
      <c r="A33" t="s">
        <v>13</v>
      </c>
      <c r="B33">
        <v>1000</v>
      </c>
      <c r="C33">
        <v>2</v>
      </c>
      <c r="D33">
        <v>16</v>
      </c>
      <c r="E33" s="2">
        <v>7.8899999999999998E-2</v>
      </c>
      <c r="F33">
        <v>14555</v>
      </c>
      <c r="G33">
        <v>2318</v>
      </c>
      <c r="H33">
        <v>6954</v>
      </c>
      <c r="I33">
        <v>23</v>
      </c>
      <c r="J33">
        <v>12345</v>
      </c>
      <c r="K33" t="s">
        <v>12</v>
      </c>
    </row>
    <row r="34" spans="1:11" ht="20.100000000000001" customHeight="1">
      <c r="A34" t="s">
        <v>11</v>
      </c>
      <c r="B34">
        <v>1000</v>
      </c>
      <c r="C34">
        <v>2</v>
      </c>
      <c r="D34">
        <v>17</v>
      </c>
      <c r="E34" s="2">
        <v>0.7359</v>
      </c>
      <c r="F34">
        <v>247484</v>
      </c>
      <c r="G34">
        <v>0</v>
      </c>
      <c r="H34">
        <v>247491</v>
      </c>
      <c r="I34">
        <v>0</v>
      </c>
      <c r="J34">
        <v>12345</v>
      </c>
      <c r="K34" t="s">
        <v>12</v>
      </c>
    </row>
    <row r="35" spans="1:11" ht="20.100000000000001" customHeight="1">
      <c r="A35" t="s">
        <v>13</v>
      </c>
      <c r="B35">
        <v>1000</v>
      </c>
      <c r="C35">
        <v>2</v>
      </c>
      <c r="D35">
        <v>17</v>
      </c>
      <c r="E35" s="2">
        <v>7.5499999999999998E-2</v>
      </c>
      <c r="F35">
        <v>13484</v>
      </c>
      <c r="G35">
        <v>2293</v>
      </c>
      <c r="H35">
        <v>6879</v>
      </c>
      <c r="I35">
        <v>24</v>
      </c>
      <c r="J35">
        <v>12345</v>
      </c>
      <c r="K35" t="s">
        <v>12</v>
      </c>
    </row>
    <row r="36" spans="1:11" ht="20.100000000000001" customHeight="1">
      <c r="A36" t="s">
        <v>11</v>
      </c>
      <c r="B36">
        <v>1000</v>
      </c>
      <c r="C36">
        <v>2</v>
      </c>
      <c r="D36">
        <v>18</v>
      </c>
      <c r="E36" s="2">
        <v>0.76890000000000003</v>
      </c>
      <c r="F36">
        <v>257814</v>
      </c>
      <c r="G36">
        <v>0</v>
      </c>
      <c r="H36">
        <v>257824</v>
      </c>
      <c r="I36">
        <v>0</v>
      </c>
      <c r="J36">
        <v>12345</v>
      </c>
      <c r="K36" t="s">
        <v>12</v>
      </c>
    </row>
    <row r="37" spans="1:11" ht="20.100000000000001" customHeight="1">
      <c r="A37" t="s">
        <v>13</v>
      </c>
      <c r="B37">
        <v>1000</v>
      </c>
      <c r="C37">
        <v>2</v>
      </c>
      <c r="D37">
        <v>18</v>
      </c>
      <c r="E37" s="2">
        <v>7.7100000000000002E-2</v>
      </c>
      <c r="F37">
        <v>13893</v>
      </c>
      <c r="G37">
        <v>2310</v>
      </c>
      <c r="H37">
        <v>6930</v>
      </c>
      <c r="I37">
        <v>21</v>
      </c>
      <c r="J37">
        <v>12345</v>
      </c>
      <c r="K37" t="s">
        <v>12</v>
      </c>
    </row>
    <row r="38" spans="1:11" ht="20.100000000000001" customHeight="1">
      <c r="A38" t="s">
        <v>11</v>
      </c>
      <c r="B38">
        <v>1000</v>
      </c>
      <c r="C38">
        <v>2</v>
      </c>
      <c r="D38">
        <v>19</v>
      </c>
      <c r="E38" s="2">
        <v>0.76859999999999995</v>
      </c>
      <c r="F38">
        <v>258408</v>
      </c>
      <c r="G38">
        <v>0</v>
      </c>
      <c r="H38">
        <v>258417</v>
      </c>
      <c r="I38">
        <v>0</v>
      </c>
      <c r="J38">
        <v>12345</v>
      </c>
      <c r="K38" t="s">
        <v>12</v>
      </c>
    </row>
    <row r="39" spans="1:11" ht="20.100000000000001" customHeight="1">
      <c r="A39" t="s">
        <v>13</v>
      </c>
      <c r="B39">
        <v>1000</v>
      </c>
      <c r="C39">
        <v>2</v>
      </c>
      <c r="D39">
        <v>19</v>
      </c>
      <c r="E39" s="2">
        <v>7.5800000000000006E-2</v>
      </c>
      <c r="F39">
        <v>12932</v>
      </c>
      <c r="G39">
        <v>2340</v>
      </c>
      <c r="H39">
        <v>7020</v>
      </c>
      <c r="I39">
        <v>19</v>
      </c>
      <c r="J39">
        <v>12345</v>
      </c>
      <c r="K39" t="s">
        <v>12</v>
      </c>
    </row>
    <row r="40" spans="1:11" ht="20.100000000000001" customHeight="1">
      <c r="A40" t="s">
        <v>11</v>
      </c>
      <c r="B40">
        <v>1000</v>
      </c>
      <c r="C40">
        <v>2</v>
      </c>
      <c r="D40">
        <v>20</v>
      </c>
      <c r="E40" s="2">
        <v>0.73699999999999999</v>
      </c>
      <c r="F40">
        <v>247065</v>
      </c>
      <c r="G40">
        <v>0</v>
      </c>
      <c r="H40">
        <v>247069</v>
      </c>
      <c r="I40">
        <v>0</v>
      </c>
      <c r="J40">
        <v>12345</v>
      </c>
      <c r="K40" t="s">
        <v>12</v>
      </c>
    </row>
    <row r="41" spans="1:11" ht="20.100000000000001" customHeight="1">
      <c r="A41" t="s">
        <v>13</v>
      </c>
      <c r="B41">
        <v>1000</v>
      </c>
      <c r="C41">
        <v>2</v>
      </c>
      <c r="D41">
        <v>20</v>
      </c>
      <c r="E41" s="2">
        <v>7.7200000000000005E-2</v>
      </c>
      <c r="F41">
        <v>13133</v>
      </c>
      <c r="G41">
        <v>2318</v>
      </c>
      <c r="H41">
        <v>6954</v>
      </c>
      <c r="I41">
        <v>20</v>
      </c>
      <c r="J41">
        <v>12345</v>
      </c>
      <c r="K41" t="s">
        <v>12</v>
      </c>
    </row>
    <row r="42" spans="1:11" ht="20.100000000000001" customHeight="1">
      <c r="A42" t="s">
        <v>11</v>
      </c>
      <c r="B42">
        <v>1000</v>
      </c>
      <c r="C42">
        <v>2</v>
      </c>
      <c r="D42">
        <v>21</v>
      </c>
      <c r="E42" s="2">
        <v>0.76590000000000003</v>
      </c>
      <c r="F42">
        <v>256052</v>
      </c>
      <c r="G42">
        <v>0</v>
      </c>
      <c r="H42">
        <v>256054</v>
      </c>
      <c r="I42">
        <v>0</v>
      </c>
      <c r="J42">
        <v>12345</v>
      </c>
      <c r="K42" t="s">
        <v>12</v>
      </c>
    </row>
    <row r="43" spans="1:11" ht="20.100000000000001" customHeight="1">
      <c r="A43" t="s">
        <v>13</v>
      </c>
      <c r="B43">
        <v>1000</v>
      </c>
      <c r="C43">
        <v>2</v>
      </c>
      <c r="D43">
        <v>21</v>
      </c>
      <c r="E43" s="2">
        <v>8.1100000000000005E-2</v>
      </c>
      <c r="F43">
        <v>12411</v>
      </c>
      <c r="G43">
        <v>2343</v>
      </c>
      <c r="H43">
        <v>7029</v>
      </c>
      <c r="I43">
        <v>20</v>
      </c>
      <c r="J43">
        <v>12345</v>
      </c>
      <c r="K43" t="s">
        <v>12</v>
      </c>
    </row>
    <row r="44" spans="1:11" ht="20.100000000000001" customHeight="1">
      <c r="A44" t="s">
        <v>11</v>
      </c>
      <c r="B44">
        <v>1000</v>
      </c>
      <c r="C44">
        <v>2</v>
      </c>
      <c r="D44">
        <v>22</v>
      </c>
      <c r="E44" s="2">
        <v>0.77969999999999995</v>
      </c>
      <c r="F44">
        <v>251637</v>
      </c>
      <c r="G44">
        <v>0</v>
      </c>
      <c r="H44">
        <v>251641</v>
      </c>
      <c r="I44">
        <v>0</v>
      </c>
      <c r="J44">
        <v>12345</v>
      </c>
      <c r="K44" t="s">
        <v>12</v>
      </c>
    </row>
    <row r="45" spans="1:11" ht="20.100000000000001" customHeight="1">
      <c r="A45" t="s">
        <v>13</v>
      </c>
      <c r="B45">
        <v>1000</v>
      </c>
      <c r="C45">
        <v>2</v>
      </c>
      <c r="D45">
        <v>22</v>
      </c>
      <c r="E45" s="2">
        <v>7.9299999999999995E-2</v>
      </c>
      <c r="F45">
        <v>14147</v>
      </c>
      <c r="G45">
        <v>2286</v>
      </c>
      <c r="H45">
        <v>6858</v>
      </c>
      <c r="I45">
        <v>21</v>
      </c>
      <c r="J45">
        <v>12345</v>
      </c>
      <c r="K45" t="s">
        <v>12</v>
      </c>
    </row>
    <row r="46" spans="1:11" ht="20.100000000000001" customHeight="1">
      <c r="A46" t="s">
        <v>11</v>
      </c>
      <c r="B46">
        <v>1000</v>
      </c>
      <c r="C46">
        <v>2</v>
      </c>
      <c r="D46">
        <v>23</v>
      </c>
      <c r="E46" s="2">
        <v>0.91500000000000004</v>
      </c>
      <c r="F46">
        <v>254737</v>
      </c>
      <c r="G46">
        <v>0</v>
      </c>
      <c r="H46">
        <v>254748</v>
      </c>
      <c r="I46">
        <v>0</v>
      </c>
      <c r="J46">
        <v>12345</v>
      </c>
      <c r="K46" t="s">
        <v>12</v>
      </c>
    </row>
    <row r="47" spans="1:11" ht="20.100000000000001" customHeight="1">
      <c r="A47" t="s">
        <v>13</v>
      </c>
      <c r="B47">
        <v>1000</v>
      </c>
      <c r="C47">
        <v>2</v>
      </c>
      <c r="D47">
        <v>23</v>
      </c>
      <c r="E47" s="2">
        <v>0.10970000000000001</v>
      </c>
      <c r="F47">
        <v>12973</v>
      </c>
      <c r="G47">
        <v>2367</v>
      </c>
      <c r="H47">
        <v>7101</v>
      </c>
      <c r="I47">
        <v>19</v>
      </c>
      <c r="J47">
        <v>12345</v>
      </c>
      <c r="K47" t="s">
        <v>12</v>
      </c>
    </row>
    <row r="48" spans="1:11" ht="20.100000000000001" customHeight="1">
      <c r="A48" t="s">
        <v>11</v>
      </c>
      <c r="B48">
        <v>1000</v>
      </c>
      <c r="C48">
        <v>2</v>
      </c>
      <c r="D48">
        <v>24</v>
      </c>
      <c r="E48" s="2">
        <v>1.0496000000000001</v>
      </c>
      <c r="F48">
        <v>243745</v>
      </c>
      <c r="G48">
        <v>0</v>
      </c>
      <c r="H48">
        <v>243750</v>
      </c>
      <c r="I48">
        <v>0</v>
      </c>
      <c r="J48">
        <v>12345</v>
      </c>
      <c r="K48" t="s">
        <v>12</v>
      </c>
    </row>
    <row r="49" spans="1:11" ht="20.100000000000001" customHeight="1">
      <c r="A49" t="s">
        <v>13</v>
      </c>
      <c r="B49">
        <v>1000</v>
      </c>
      <c r="C49">
        <v>2</v>
      </c>
      <c r="D49">
        <v>24</v>
      </c>
      <c r="E49" s="2">
        <v>0.1043</v>
      </c>
      <c r="F49">
        <v>13166</v>
      </c>
      <c r="G49">
        <v>2346</v>
      </c>
      <c r="H49">
        <v>7038</v>
      </c>
      <c r="I49">
        <v>20</v>
      </c>
      <c r="J49">
        <v>12345</v>
      </c>
      <c r="K49" t="s">
        <v>12</v>
      </c>
    </row>
    <row r="50" spans="1:11" ht="20.100000000000001" customHeight="1">
      <c r="A50" t="s">
        <v>11</v>
      </c>
      <c r="B50">
        <v>1000</v>
      </c>
      <c r="C50">
        <v>2</v>
      </c>
      <c r="D50">
        <v>25</v>
      </c>
      <c r="E50" s="2">
        <v>1.0041</v>
      </c>
      <c r="F50">
        <v>252697</v>
      </c>
      <c r="G50">
        <v>0</v>
      </c>
      <c r="H50">
        <v>252707</v>
      </c>
      <c r="I50">
        <v>0</v>
      </c>
      <c r="J50">
        <v>12345</v>
      </c>
      <c r="K50" t="s">
        <v>12</v>
      </c>
    </row>
    <row r="51" spans="1:11" ht="20.100000000000001" customHeight="1">
      <c r="A51" t="s">
        <v>13</v>
      </c>
      <c r="B51">
        <v>1000</v>
      </c>
      <c r="C51">
        <v>2</v>
      </c>
      <c r="D51">
        <v>25</v>
      </c>
      <c r="E51" s="2">
        <v>0.1011</v>
      </c>
      <c r="F51">
        <v>13411</v>
      </c>
      <c r="G51">
        <v>2347</v>
      </c>
      <c r="H51">
        <v>7041</v>
      </c>
      <c r="I51">
        <v>22</v>
      </c>
      <c r="J51">
        <v>12345</v>
      </c>
      <c r="K51" t="s">
        <v>12</v>
      </c>
    </row>
    <row r="52" spans="1:11" ht="20.100000000000001" customHeight="1">
      <c r="A52" t="s">
        <v>11</v>
      </c>
      <c r="B52">
        <v>1000</v>
      </c>
      <c r="C52">
        <v>2</v>
      </c>
      <c r="D52">
        <v>26</v>
      </c>
      <c r="E52" s="2">
        <v>1.0041</v>
      </c>
      <c r="F52">
        <v>256109</v>
      </c>
      <c r="G52">
        <v>0</v>
      </c>
      <c r="H52">
        <v>256112</v>
      </c>
      <c r="I52">
        <v>0</v>
      </c>
      <c r="J52">
        <v>12345</v>
      </c>
      <c r="K52" t="s">
        <v>12</v>
      </c>
    </row>
    <row r="53" spans="1:11" ht="20.100000000000001" customHeight="1">
      <c r="A53" t="s">
        <v>13</v>
      </c>
      <c r="B53">
        <v>1000</v>
      </c>
      <c r="C53">
        <v>2</v>
      </c>
      <c r="D53">
        <v>26</v>
      </c>
      <c r="E53" s="2">
        <v>0.1023</v>
      </c>
      <c r="F53">
        <v>13052</v>
      </c>
      <c r="G53">
        <v>2370</v>
      </c>
      <c r="H53">
        <v>7110</v>
      </c>
      <c r="I53">
        <v>20</v>
      </c>
      <c r="J53">
        <v>12345</v>
      </c>
      <c r="K53" t="s">
        <v>12</v>
      </c>
    </row>
    <row r="54" spans="1:11" ht="20.100000000000001" customHeight="1">
      <c r="A54" t="s">
        <v>11</v>
      </c>
      <c r="B54">
        <v>1000</v>
      </c>
      <c r="C54">
        <v>2</v>
      </c>
      <c r="D54">
        <v>27</v>
      </c>
      <c r="E54" s="2">
        <v>0.98019999999999996</v>
      </c>
      <c r="F54">
        <v>249514</v>
      </c>
      <c r="G54">
        <v>0</v>
      </c>
      <c r="H54">
        <v>249521</v>
      </c>
      <c r="I54">
        <v>0</v>
      </c>
      <c r="J54">
        <v>12345</v>
      </c>
      <c r="K54" t="s">
        <v>12</v>
      </c>
    </row>
    <row r="55" spans="1:11" ht="20.100000000000001" customHeight="1">
      <c r="A55" t="s">
        <v>13</v>
      </c>
      <c r="B55">
        <v>1000</v>
      </c>
      <c r="C55">
        <v>2</v>
      </c>
      <c r="D55">
        <v>27</v>
      </c>
      <c r="E55" s="2">
        <v>0.1016</v>
      </c>
      <c r="F55">
        <v>13640</v>
      </c>
      <c r="G55">
        <v>2312</v>
      </c>
      <c r="H55">
        <v>6936</v>
      </c>
      <c r="I55">
        <v>21</v>
      </c>
      <c r="J55">
        <v>12345</v>
      </c>
      <c r="K55" t="s">
        <v>12</v>
      </c>
    </row>
    <row r="56" spans="1:11" ht="20.100000000000001" customHeight="1">
      <c r="A56" t="s">
        <v>11</v>
      </c>
      <c r="B56">
        <v>1000</v>
      </c>
      <c r="C56">
        <v>2</v>
      </c>
      <c r="D56">
        <v>28</v>
      </c>
      <c r="E56" s="2">
        <v>1.0881000000000001</v>
      </c>
      <c r="F56">
        <v>258218</v>
      </c>
      <c r="G56">
        <v>0</v>
      </c>
      <c r="H56">
        <v>258222</v>
      </c>
      <c r="I56">
        <v>0</v>
      </c>
      <c r="J56">
        <v>12345</v>
      </c>
      <c r="K56" t="s">
        <v>12</v>
      </c>
    </row>
    <row r="57" spans="1:11" ht="20.100000000000001" customHeight="1">
      <c r="A57" t="s">
        <v>13</v>
      </c>
      <c r="B57">
        <v>1000</v>
      </c>
      <c r="C57">
        <v>2</v>
      </c>
      <c r="D57">
        <v>28</v>
      </c>
      <c r="E57" s="2">
        <v>0.1027</v>
      </c>
      <c r="F57">
        <v>13304</v>
      </c>
      <c r="G57">
        <v>2345</v>
      </c>
      <c r="H57">
        <v>7035</v>
      </c>
      <c r="I57">
        <v>21</v>
      </c>
      <c r="J57">
        <v>12345</v>
      </c>
      <c r="K57" t="s">
        <v>12</v>
      </c>
    </row>
    <row r="58" spans="1:11" ht="20.100000000000001" customHeight="1">
      <c r="A58" t="s">
        <v>11</v>
      </c>
      <c r="B58">
        <v>1000</v>
      </c>
      <c r="C58">
        <v>2</v>
      </c>
      <c r="D58">
        <v>29</v>
      </c>
      <c r="E58" s="2">
        <v>0.99880000000000002</v>
      </c>
      <c r="F58">
        <v>254685</v>
      </c>
      <c r="G58">
        <v>0</v>
      </c>
      <c r="H58">
        <v>254694</v>
      </c>
      <c r="I58">
        <v>0</v>
      </c>
      <c r="J58">
        <v>12345</v>
      </c>
      <c r="K58" t="s">
        <v>12</v>
      </c>
    </row>
    <row r="59" spans="1:11" ht="20.100000000000001" customHeight="1">
      <c r="A59" t="s">
        <v>13</v>
      </c>
      <c r="B59">
        <v>1000</v>
      </c>
      <c r="C59">
        <v>2</v>
      </c>
      <c r="D59">
        <v>29</v>
      </c>
      <c r="E59" s="2">
        <v>0.1007</v>
      </c>
      <c r="F59">
        <v>12838</v>
      </c>
      <c r="G59">
        <v>2350</v>
      </c>
      <c r="H59">
        <v>7050</v>
      </c>
      <c r="I59">
        <v>19</v>
      </c>
      <c r="J59">
        <v>12345</v>
      </c>
      <c r="K59" t="s">
        <v>12</v>
      </c>
    </row>
    <row r="60" spans="1:11" ht="20.100000000000001" customHeight="1">
      <c r="A60" t="s">
        <v>11</v>
      </c>
      <c r="B60">
        <v>1000</v>
      </c>
      <c r="C60">
        <v>2</v>
      </c>
      <c r="D60">
        <v>30</v>
      </c>
      <c r="E60" s="2">
        <v>0.98519999999999996</v>
      </c>
      <c r="F60">
        <v>250816</v>
      </c>
      <c r="G60">
        <v>0</v>
      </c>
      <c r="H60">
        <v>250825</v>
      </c>
      <c r="I60">
        <v>0</v>
      </c>
      <c r="J60">
        <v>12345</v>
      </c>
      <c r="K60" t="s">
        <v>12</v>
      </c>
    </row>
    <row r="61" spans="1:11" ht="20.100000000000001" customHeight="1">
      <c r="A61" t="s">
        <v>13</v>
      </c>
      <c r="B61">
        <v>1000</v>
      </c>
      <c r="C61">
        <v>2</v>
      </c>
      <c r="D61">
        <v>30</v>
      </c>
      <c r="E61" s="2">
        <v>0.10009999999999999</v>
      </c>
      <c r="F61">
        <v>13172</v>
      </c>
      <c r="G61">
        <v>2296</v>
      </c>
      <c r="H61">
        <v>6888</v>
      </c>
      <c r="I61">
        <v>20</v>
      </c>
      <c r="J61">
        <v>12345</v>
      </c>
      <c r="K61" t="s">
        <v>12</v>
      </c>
    </row>
    <row r="62" spans="1:11" ht="20.100000000000001" customHeight="1">
      <c r="A62" t="s">
        <v>11</v>
      </c>
      <c r="B62">
        <v>1000</v>
      </c>
      <c r="C62">
        <v>3</v>
      </c>
      <c r="D62">
        <v>1</v>
      </c>
      <c r="E62" s="2">
        <v>6.1999999999999998E-3</v>
      </c>
      <c r="F62">
        <v>999</v>
      </c>
      <c r="G62">
        <v>0</v>
      </c>
      <c r="H62">
        <v>999</v>
      </c>
      <c r="I62">
        <v>0</v>
      </c>
      <c r="J62">
        <v>12345</v>
      </c>
      <c r="K62" t="s">
        <v>12</v>
      </c>
    </row>
    <row r="63" spans="1:11" ht="20.100000000000001" customHeight="1">
      <c r="A63" t="s">
        <v>13</v>
      </c>
      <c r="B63">
        <v>1000</v>
      </c>
      <c r="C63">
        <v>3</v>
      </c>
      <c r="D63">
        <v>1</v>
      </c>
      <c r="E63" s="2">
        <v>2.81E-2</v>
      </c>
      <c r="F63">
        <v>9009</v>
      </c>
      <c r="G63">
        <v>0</v>
      </c>
      <c r="H63">
        <v>0</v>
      </c>
      <c r="I63">
        <v>9</v>
      </c>
      <c r="J63">
        <v>12345</v>
      </c>
      <c r="K63" t="s">
        <v>12</v>
      </c>
    </row>
    <row r="64" spans="1:11" ht="20.100000000000001" customHeight="1">
      <c r="A64" t="s">
        <v>11</v>
      </c>
      <c r="B64">
        <v>1000</v>
      </c>
      <c r="C64">
        <v>3</v>
      </c>
      <c r="D64">
        <v>2</v>
      </c>
      <c r="E64" s="2">
        <v>6.7999999999999996E-3</v>
      </c>
      <c r="F64">
        <v>999</v>
      </c>
      <c r="G64">
        <v>0</v>
      </c>
      <c r="H64">
        <v>999</v>
      </c>
      <c r="I64">
        <v>0</v>
      </c>
      <c r="J64">
        <v>12345</v>
      </c>
      <c r="K64" t="s">
        <v>12</v>
      </c>
    </row>
    <row r="65" spans="1:11" ht="20.100000000000001" customHeight="1">
      <c r="A65" t="s">
        <v>13</v>
      </c>
      <c r="B65">
        <v>1000</v>
      </c>
      <c r="C65">
        <v>3</v>
      </c>
      <c r="D65">
        <v>2</v>
      </c>
      <c r="E65" s="2">
        <v>2.5700000000000001E-2</v>
      </c>
      <c r="F65">
        <v>9009</v>
      </c>
      <c r="G65">
        <v>0</v>
      </c>
      <c r="H65">
        <v>0</v>
      </c>
      <c r="I65">
        <v>9</v>
      </c>
      <c r="J65">
        <v>12345</v>
      </c>
      <c r="K65" t="s">
        <v>12</v>
      </c>
    </row>
    <row r="66" spans="1:11" ht="20.100000000000001" customHeight="1">
      <c r="A66" t="s">
        <v>11</v>
      </c>
      <c r="B66">
        <v>1000</v>
      </c>
      <c r="C66">
        <v>3</v>
      </c>
      <c r="D66">
        <v>3</v>
      </c>
      <c r="E66" s="2">
        <v>6.4000000000000003E-3</v>
      </c>
      <c r="F66">
        <v>999</v>
      </c>
      <c r="G66">
        <v>0</v>
      </c>
      <c r="H66">
        <v>999</v>
      </c>
      <c r="I66">
        <v>0</v>
      </c>
      <c r="J66">
        <v>12345</v>
      </c>
      <c r="K66" t="s">
        <v>12</v>
      </c>
    </row>
    <row r="67" spans="1:11" ht="20.100000000000001" customHeight="1">
      <c r="A67" t="s">
        <v>13</v>
      </c>
      <c r="B67">
        <v>1000</v>
      </c>
      <c r="C67">
        <v>3</v>
      </c>
      <c r="D67">
        <v>3</v>
      </c>
      <c r="E67" s="2">
        <v>2.5499999999999998E-2</v>
      </c>
      <c r="F67">
        <v>9009</v>
      </c>
      <c r="G67">
        <v>0</v>
      </c>
      <c r="H67">
        <v>0</v>
      </c>
      <c r="I67">
        <v>9</v>
      </c>
      <c r="J67">
        <v>12345</v>
      </c>
      <c r="K67" t="s">
        <v>12</v>
      </c>
    </row>
    <row r="68" spans="1:11" ht="20.100000000000001" customHeight="1">
      <c r="A68" t="s">
        <v>11</v>
      </c>
      <c r="B68">
        <v>1000</v>
      </c>
      <c r="C68">
        <v>3</v>
      </c>
      <c r="D68">
        <v>4</v>
      </c>
      <c r="E68" s="2">
        <v>6.4000000000000003E-3</v>
      </c>
      <c r="F68">
        <v>999</v>
      </c>
      <c r="G68">
        <v>0</v>
      </c>
      <c r="H68">
        <v>999</v>
      </c>
      <c r="I68">
        <v>0</v>
      </c>
      <c r="J68">
        <v>12345</v>
      </c>
      <c r="K68" t="s">
        <v>12</v>
      </c>
    </row>
    <row r="69" spans="1:11" ht="20.100000000000001" customHeight="1">
      <c r="A69" t="s">
        <v>13</v>
      </c>
      <c r="B69">
        <v>1000</v>
      </c>
      <c r="C69">
        <v>3</v>
      </c>
      <c r="D69">
        <v>4</v>
      </c>
      <c r="E69" s="2">
        <v>2.53E-2</v>
      </c>
      <c r="F69">
        <v>9009</v>
      </c>
      <c r="G69">
        <v>0</v>
      </c>
      <c r="H69">
        <v>0</v>
      </c>
      <c r="I69">
        <v>9</v>
      </c>
      <c r="J69">
        <v>12345</v>
      </c>
      <c r="K69" t="s">
        <v>12</v>
      </c>
    </row>
    <row r="70" spans="1:11" ht="20.100000000000001" customHeight="1">
      <c r="A70" t="s">
        <v>11</v>
      </c>
      <c r="B70">
        <v>1000</v>
      </c>
      <c r="C70">
        <v>3</v>
      </c>
      <c r="D70">
        <v>5</v>
      </c>
      <c r="E70" s="2">
        <v>6.4999999999999997E-3</v>
      </c>
      <c r="F70">
        <v>999</v>
      </c>
      <c r="G70">
        <v>0</v>
      </c>
      <c r="H70">
        <v>999</v>
      </c>
      <c r="I70">
        <v>0</v>
      </c>
      <c r="J70">
        <v>12345</v>
      </c>
      <c r="K70" t="s">
        <v>12</v>
      </c>
    </row>
    <row r="71" spans="1:11" ht="20.100000000000001" customHeight="1">
      <c r="A71" t="s">
        <v>13</v>
      </c>
      <c r="B71">
        <v>1000</v>
      </c>
      <c r="C71">
        <v>3</v>
      </c>
      <c r="D71">
        <v>5</v>
      </c>
      <c r="E71" s="2">
        <v>2.5399999999999999E-2</v>
      </c>
      <c r="F71">
        <v>9009</v>
      </c>
      <c r="G71">
        <v>0</v>
      </c>
      <c r="H71">
        <v>0</v>
      </c>
      <c r="I71">
        <v>9</v>
      </c>
      <c r="J71">
        <v>12345</v>
      </c>
      <c r="K71" t="s">
        <v>12</v>
      </c>
    </row>
    <row r="72" spans="1:11" ht="20.100000000000001" customHeight="1">
      <c r="A72" t="s">
        <v>11</v>
      </c>
      <c r="B72">
        <v>1000</v>
      </c>
      <c r="C72">
        <v>3</v>
      </c>
      <c r="D72">
        <v>6</v>
      </c>
      <c r="E72" s="2">
        <v>5.5999999999999999E-3</v>
      </c>
      <c r="F72">
        <v>999</v>
      </c>
      <c r="G72">
        <v>0</v>
      </c>
      <c r="H72">
        <v>999</v>
      </c>
      <c r="I72">
        <v>0</v>
      </c>
      <c r="J72">
        <v>12345</v>
      </c>
      <c r="K72" t="s">
        <v>12</v>
      </c>
    </row>
    <row r="73" spans="1:11" ht="20.100000000000001" customHeight="1">
      <c r="A73" t="s">
        <v>13</v>
      </c>
      <c r="B73">
        <v>1000</v>
      </c>
      <c r="C73">
        <v>3</v>
      </c>
      <c r="D73">
        <v>6</v>
      </c>
      <c r="E73" s="2">
        <v>2.5499999999999998E-2</v>
      </c>
      <c r="F73">
        <v>9009</v>
      </c>
      <c r="G73">
        <v>0</v>
      </c>
      <c r="H73">
        <v>0</v>
      </c>
      <c r="I73">
        <v>9</v>
      </c>
      <c r="J73">
        <v>12345</v>
      </c>
      <c r="K73" t="s">
        <v>12</v>
      </c>
    </row>
    <row r="74" spans="1:11" ht="20.100000000000001" customHeight="1">
      <c r="A74" t="s">
        <v>11</v>
      </c>
      <c r="B74">
        <v>1000</v>
      </c>
      <c r="C74">
        <v>3</v>
      </c>
      <c r="D74">
        <v>7</v>
      </c>
      <c r="E74" s="2">
        <v>6.0000000000000001E-3</v>
      </c>
      <c r="F74">
        <v>999</v>
      </c>
      <c r="G74">
        <v>0</v>
      </c>
      <c r="H74">
        <v>999</v>
      </c>
      <c r="I74">
        <v>0</v>
      </c>
      <c r="J74">
        <v>12345</v>
      </c>
      <c r="K74" t="s">
        <v>12</v>
      </c>
    </row>
    <row r="75" spans="1:11" ht="20.100000000000001" customHeight="1">
      <c r="A75" t="s">
        <v>13</v>
      </c>
      <c r="B75">
        <v>1000</v>
      </c>
      <c r="C75">
        <v>3</v>
      </c>
      <c r="D75">
        <v>7</v>
      </c>
      <c r="E75" s="2">
        <v>2.5399999999999999E-2</v>
      </c>
      <c r="F75">
        <v>9009</v>
      </c>
      <c r="G75">
        <v>0</v>
      </c>
      <c r="H75">
        <v>0</v>
      </c>
      <c r="I75">
        <v>9</v>
      </c>
      <c r="J75">
        <v>12345</v>
      </c>
      <c r="K75" t="s">
        <v>12</v>
      </c>
    </row>
    <row r="76" spans="1:11" ht="20.100000000000001" customHeight="1">
      <c r="A76" t="s">
        <v>11</v>
      </c>
      <c r="B76">
        <v>1000</v>
      </c>
      <c r="C76">
        <v>3</v>
      </c>
      <c r="D76">
        <v>8</v>
      </c>
      <c r="E76" s="2">
        <v>6.0000000000000001E-3</v>
      </c>
      <c r="F76">
        <v>999</v>
      </c>
      <c r="G76">
        <v>0</v>
      </c>
      <c r="H76">
        <v>999</v>
      </c>
      <c r="I76">
        <v>0</v>
      </c>
      <c r="J76">
        <v>12345</v>
      </c>
      <c r="K76" t="s">
        <v>12</v>
      </c>
    </row>
    <row r="77" spans="1:11" ht="20.100000000000001" customHeight="1">
      <c r="A77" t="s">
        <v>13</v>
      </c>
      <c r="B77">
        <v>1000</v>
      </c>
      <c r="C77">
        <v>3</v>
      </c>
      <c r="D77">
        <v>8</v>
      </c>
      <c r="E77" s="2">
        <v>2.53E-2</v>
      </c>
      <c r="F77">
        <v>9009</v>
      </c>
      <c r="G77">
        <v>0</v>
      </c>
      <c r="H77">
        <v>0</v>
      </c>
      <c r="I77">
        <v>9</v>
      </c>
      <c r="J77">
        <v>12345</v>
      </c>
      <c r="K77" t="s">
        <v>12</v>
      </c>
    </row>
    <row r="78" spans="1:11" ht="20.100000000000001" customHeight="1">
      <c r="A78" t="s">
        <v>11</v>
      </c>
      <c r="B78">
        <v>1000</v>
      </c>
      <c r="C78">
        <v>3</v>
      </c>
      <c r="D78">
        <v>9</v>
      </c>
      <c r="E78" s="2">
        <v>6.3E-3</v>
      </c>
      <c r="F78">
        <v>999</v>
      </c>
      <c r="G78">
        <v>0</v>
      </c>
      <c r="H78">
        <v>999</v>
      </c>
      <c r="I78">
        <v>0</v>
      </c>
      <c r="J78">
        <v>12345</v>
      </c>
      <c r="K78" t="s">
        <v>12</v>
      </c>
    </row>
    <row r="79" spans="1:11" ht="20.100000000000001" customHeight="1">
      <c r="A79" t="s">
        <v>13</v>
      </c>
      <c r="B79">
        <v>1000</v>
      </c>
      <c r="C79">
        <v>3</v>
      </c>
      <c r="D79">
        <v>9</v>
      </c>
      <c r="E79" s="2">
        <v>2.52E-2</v>
      </c>
      <c r="F79">
        <v>9009</v>
      </c>
      <c r="G79">
        <v>0</v>
      </c>
      <c r="H79">
        <v>0</v>
      </c>
      <c r="I79">
        <v>9</v>
      </c>
      <c r="J79">
        <v>12345</v>
      </c>
      <c r="K79" t="s">
        <v>12</v>
      </c>
    </row>
    <row r="80" spans="1:11" ht="20.100000000000001" customHeight="1">
      <c r="A80" t="s">
        <v>11</v>
      </c>
      <c r="B80">
        <v>1000</v>
      </c>
      <c r="C80">
        <v>3</v>
      </c>
      <c r="D80">
        <v>10</v>
      </c>
      <c r="E80" s="2">
        <v>6.1999999999999998E-3</v>
      </c>
      <c r="F80">
        <v>999</v>
      </c>
      <c r="G80">
        <v>0</v>
      </c>
      <c r="H80">
        <v>999</v>
      </c>
      <c r="I80">
        <v>0</v>
      </c>
      <c r="J80">
        <v>12345</v>
      </c>
      <c r="K80" t="s">
        <v>12</v>
      </c>
    </row>
    <row r="81" spans="1:11" ht="20.100000000000001" customHeight="1">
      <c r="A81" t="s">
        <v>13</v>
      </c>
      <c r="B81">
        <v>1000</v>
      </c>
      <c r="C81">
        <v>3</v>
      </c>
      <c r="D81">
        <v>10</v>
      </c>
      <c r="E81" s="2">
        <v>2.53E-2</v>
      </c>
      <c r="F81">
        <v>9009</v>
      </c>
      <c r="G81">
        <v>0</v>
      </c>
      <c r="H81">
        <v>0</v>
      </c>
      <c r="I81">
        <v>9</v>
      </c>
      <c r="J81">
        <v>12345</v>
      </c>
      <c r="K81" t="s">
        <v>12</v>
      </c>
    </row>
    <row r="82" spans="1:11" ht="20.100000000000001" customHeight="1">
      <c r="A82" t="s">
        <v>11</v>
      </c>
      <c r="B82">
        <v>1000</v>
      </c>
      <c r="C82">
        <v>3</v>
      </c>
      <c r="D82">
        <v>11</v>
      </c>
      <c r="E82" s="2">
        <v>5.4000000000000003E-3</v>
      </c>
      <c r="F82">
        <v>999</v>
      </c>
      <c r="G82">
        <v>0</v>
      </c>
      <c r="H82">
        <v>999</v>
      </c>
      <c r="I82">
        <v>0</v>
      </c>
      <c r="J82">
        <v>12345</v>
      </c>
      <c r="K82" t="s">
        <v>12</v>
      </c>
    </row>
    <row r="83" spans="1:11" ht="20.100000000000001" customHeight="1">
      <c r="A83" t="s">
        <v>13</v>
      </c>
      <c r="B83">
        <v>1000</v>
      </c>
      <c r="C83">
        <v>3</v>
      </c>
      <c r="D83">
        <v>11</v>
      </c>
      <c r="E83" s="2">
        <v>2.5499999999999998E-2</v>
      </c>
      <c r="F83">
        <v>9009</v>
      </c>
      <c r="G83">
        <v>0</v>
      </c>
      <c r="H83">
        <v>0</v>
      </c>
      <c r="I83">
        <v>9</v>
      </c>
      <c r="J83">
        <v>12345</v>
      </c>
      <c r="K83" t="s">
        <v>12</v>
      </c>
    </row>
    <row r="84" spans="1:11" ht="20.100000000000001" customHeight="1">
      <c r="A84" t="s">
        <v>11</v>
      </c>
      <c r="B84">
        <v>1000</v>
      </c>
      <c r="C84">
        <v>3</v>
      </c>
      <c r="D84">
        <v>12</v>
      </c>
      <c r="E84" s="2">
        <v>5.5999999999999999E-3</v>
      </c>
      <c r="F84">
        <v>999</v>
      </c>
      <c r="G84">
        <v>0</v>
      </c>
      <c r="H84">
        <v>999</v>
      </c>
      <c r="I84">
        <v>0</v>
      </c>
      <c r="J84">
        <v>12345</v>
      </c>
      <c r="K84" t="s">
        <v>12</v>
      </c>
    </row>
    <row r="85" spans="1:11" ht="20.100000000000001" customHeight="1">
      <c r="A85" t="s">
        <v>13</v>
      </c>
      <c r="B85">
        <v>1000</v>
      </c>
      <c r="C85">
        <v>3</v>
      </c>
      <c r="D85">
        <v>12</v>
      </c>
      <c r="E85" s="2">
        <v>2.5399999999999999E-2</v>
      </c>
      <c r="F85">
        <v>9009</v>
      </c>
      <c r="G85">
        <v>0</v>
      </c>
      <c r="H85">
        <v>0</v>
      </c>
      <c r="I85">
        <v>9</v>
      </c>
      <c r="J85">
        <v>12345</v>
      </c>
      <c r="K85" t="s">
        <v>12</v>
      </c>
    </row>
    <row r="86" spans="1:11" ht="20.100000000000001" customHeight="1">
      <c r="A86" t="s">
        <v>11</v>
      </c>
      <c r="B86">
        <v>1000</v>
      </c>
      <c r="C86">
        <v>3</v>
      </c>
      <c r="D86">
        <v>13</v>
      </c>
      <c r="E86" s="2">
        <v>6.0000000000000001E-3</v>
      </c>
      <c r="F86">
        <v>999</v>
      </c>
      <c r="G86">
        <v>0</v>
      </c>
      <c r="H86">
        <v>999</v>
      </c>
      <c r="I86">
        <v>0</v>
      </c>
      <c r="J86">
        <v>12345</v>
      </c>
      <c r="K86" t="s">
        <v>12</v>
      </c>
    </row>
    <row r="87" spans="1:11" ht="20.100000000000001" customHeight="1">
      <c r="A87" t="s">
        <v>13</v>
      </c>
      <c r="B87">
        <v>1000</v>
      </c>
      <c r="C87">
        <v>3</v>
      </c>
      <c r="D87">
        <v>13</v>
      </c>
      <c r="E87" s="2">
        <v>2.5499999999999998E-2</v>
      </c>
      <c r="F87">
        <v>9009</v>
      </c>
      <c r="G87">
        <v>0</v>
      </c>
      <c r="H87">
        <v>0</v>
      </c>
      <c r="I87">
        <v>9</v>
      </c>
      <c r="J87">
        <v>12345</v>
      </c>
      <c r="K87" t="s">
        <v>12</v>
      </c>
    </row>
    <row r="88" spans="1:11" ht="20.100000000000001" customHeight="1">
      <c r="A88" t="s">
        <v>11</v>
      </c>
      <c r="B88">
        <v>1000</v>
      </c>
      <c r="C88">
        <v>3</v>
      </c>
      <c r="D88">
        <v>14</v>
      </c>
      <c r="E88" s="2">
        <v>6.0000000000000001E-3</v>
      </c>
      <c r="F88">
        <v>999</v>
      </c>
      <c r="G88">
        <v>0</v>
      </c>
      <c r="H88">
        <v>999</v>
      </c>
      <c r="I88">
        <v>0</v>
      </c>
      <c r="J88">
        <v>12345</v>
      </c>
      <c r="K88" t="s">
        <v>12</v>
      </c>
    </row>
    <row r="89" spans="1:11" ht="20.100000000000001" customHeight="1">
      <c r="A89" t="s">
        <v>13</v>
      </c>
      <c r="B89">
        <v>1000</v>
      </c>
      <c r="C89">
        <v>3</v>
      </c>
      <c r="D89">
        <v>14</v>
      </c>
      <c r="E89" s="2">
        <v>2.5499999999999998E-2</v>
      </c>
      <c r="F89">
        <v>9009</v>
      </c>
      <c r="G89">
        <v>0</v>
      </c>
      <c r="H89">
        <v>0</v>
      </c>
      <c r="I89">
        <v>9</v>
      </c>
      <c r="J89">
        <v>12345</v>
      </c>
      <c r="K89" t="s">
        <v>12</v>
      </c>
    </row>
    <row r="90" spans="1:11" ht="20.100000000000001" customHeight="1">
      <c r="A90" t="s">
        <v>11</v>
      </c>
      <c r="B90">
        <v>1000</v>
      </c>
      <c r="C90">
        <v>3</v>
      </c>
      <c r="D90">
        <v>15</v>
      </c>
      <c r="E90" s="2">
        <v>6.1999999999999998E-3</v>
      </c>
      <c r="F90">
        <v>999</v>
      </c>
      <c r="G90">
        <v>0</v>
      </c>
      <c r="H90">
        <v>999</v>
      </c>
      <c r="I90">
        <v>0</v>
      </c>
      <c r="J90">
        <v>12345</v>
      </c>
      <c r="K90" t="s">
        <v>12</v>
      </c>
    </row>
    <row r="91" spans="1:11" ht="20.100000000000001" customHeight="1">
      <c r="A91" t="s">
        <v>13</v>
      </c>
      <c r="B91">
        <v>1000</v>
      </c>
      <c r="C91">
        <v>3</v>
      </c>
      <c r="D91">
        <v>15</v>
      </c>
      <c r="E91" s="2">
        <v>2.5499999999999998E-2</v>
      </c>
      <c r="F91">
        <v>9009</v>
      </c>
      <c r="G91">
        <v>0</v>
      </c>
      <c r="H91">
        <v>0</v>
      </c>
      <c r="I91">
        <v>9</v>
      </c>
      <c r="J91">
        <v>12345</v>
      </c>
      <c r="K91" t="s">
        <v>12</v>
      </c>
    </row>
    <row r="92" spans="1:11" ht="20.100000000000001" customHeight="1">
      <c r="A92" t="s">
        <v>11</v>
      </c>
      <c r="B92">
        <v>1000</v>
      </c>
      <c r="C92">
        <v>3</v>
      </c>
      <c r="D92">
        <v>16</v>
      </c>
      <c r="E92" s="2">
        <v>5.7999999999999996E-3</v>
      </c>
      <c r="F92">
        <v>999</v>
      </c>
      <c r="G92">
        <v>0</v>
      </c>
      <c r="H92">
        <v>999</v>
      </c>
      <c r="I92">
        <v>0</v>
      </c>
      <c r="J92">
        <v>12345</v>
      </c>
      <c r="K92" t="s">
        <v>12</v>
      </c>
    </row>
    <row r="93" spans="1:11" ht="20.100000000000001" customHeight="1">
      <c r="A93" t="s">
        <v>13</v>
      </c>
      <c r="B93">
        <v>1000</v>
      </c>
      <c r="C93">
        <v>3</v>
      </c>
      <c r="D93">
        <v>16</v>
      </c>
      <c r="E93" s="2">
        <v>2.53E-2</v>
      </c>
      <c r="F93">
        <v>9009</v>
      </c>
      <c r="G93">
        <v>0</v>
      </c>
      <c r="H93">
        <v>0</v>
      </c>
      <c r="I93">
        <v>9</v>
      </c>
      <c r="J93">
        <v>12345</v>
      </c>
      <c r="K93" t="s">
        <v>12</v>
      </c>
    </row>
    <row r="94" spans="1:11" ht="20.100000000000001" customHeight="1">
      <c r="A94" t="s">
        <v>11</v>
      </c>
      <c r="B94">
        <v>1000</v>
      </c>
      <c r="C94">
        <v>3</v>
      </c>
      <c r="D94">
        <v>17</v>
      </c>
      <c r="E94" s="2">
        <v>5.4000000000000003E-3</v>
      </c>
      <c r="F94">
        <v>999</v>
      </c>
      <c r="G94">
        <v>0</v>
      </c>
      <c r="H94">
        <v>999</v>
      </c>
      <c r="I94">
        <v>0</v>
      </c>
      <c r="J94">
        <v>12345</v>
      </c>
      <c r="K94" t="s">
        <v>12</v>
      </c>
    </row>
    <row r="95" spans="1:11" ht="20.100000000000001" customHeight="1">
      <c r="A95" t="s">
        <v>13</v>
      </c>
      <c r="B95">
        <v>1000</v>
      </c>
      <c r="C95">
        <v>3</v>
      </c>
      <c r="D95">
        <v>17</v>
      </c>
      <c r="E95" s="2">
        <v>2.5399999999999999E-2</v>
      </c>
      <c r="F95">
        <v>9009</v>
      </c>
      <c r="G95">
        <v>0</v>
      </c>
      <c r="H95">
        <v>0</v>
      </c>
      <c r="I95">
        <v>9</v>
      </c>
      <c r="J95">
        <v>12345</v>
      </c>
      <c r="K95" t="s">
        <v>12</v>
      </c>
    </row>
    <row r="96" spans="1:11" ht="20.100000000000001" customHeight="1">
      <c r="A96" t="s">
        <v>11</v>
      </c>
      <c r="B96">
        <v>1000</v>
      </c>
      <c r="C96">
        <v>3</v>
      </c>
      <c r="D96">
        <v>18</v>
      </c>
      <c r="E96" s="2">
        <v>6.3E-3</v>
      </c>
      <c r="F96">
        <v>999</v>
      </c>
      <c r="G96">
        <v>0</v>
      </c>
      <c r="H96">
        <v>999</v>
      </c>
      <c r="I96">
        <v>0</v>
      </c>
      <c r="J96">
        <v>12345</v>
      </c>
      <c r="K96" t="s">
        <v>12</v>
      </c>
    </row>
    <row r="97" spans="1:11" ht="20.100000000000001" customHeight="1">
      <c r="A97" t="s">
        <v>13</v>
      </c>
      <c r="B97">
        <v>1000</v>
      </c>
      <c r="C97">
        <v>3</v>
      </c>
      <c r="D97">
        <v>18</v>
      </c>
      <c r="E97" s="2">
        <v>2.5399999999999999E-2</v>
      </c>
      <c r="F97">
        <v>9009</v>
      </c>
      <c r="G97">
        <v>0</v>
      </c>
      <c r="H97">
        <v>0</v>
      </c>
      <c r="I97">
        <v>9</v>
      </c>
      <c r="J97">
        <v>12345</v>
      </c>
      <c r="K97" t="s">
        <v>12</v>
      </c>
    </row>
    <row r="98" spans="1:11" ht="20.100000000000001" customHeight="1">
      <c r="A98" t="s">
        <v>11</v>
      </c>
      <c r="B98">
        <v>1000</v>
      </c>
      <c r="C98">
        <v>3</v>
      </c>
      <c r="D98">
        <v>19</v>
      </c>
      <c r="E98" s="2">
        <v>6.0000000000000001E-3</v>
      </c>
      <c r="F98">
        <v>999</v>
      </c>
      <c r="G98">
        <v>0</v>
      </c>
      <c r="H98">
        <v>999</v>
      </c>
      <c r="I98">
        <v>0</v>
      </c>
      <c r="J98">
        <v>12345</v>
      </c>
      <c r="K98" t="s">
        <v>12</v>
      </c>
    </row>
    <row r="99" spans="1:11" ht="20.100000000000001" customHeight="1">
      <c r="A99" t="s">
        <v>13</v>
      </c>
      <c r="B99">
        <v>1000</v>
      </c>
      <c r="C99">
        <v>3</v>
      </c>
      <c r="D99">
        <v>19</v>
      </c>
      <c r="E99" s="2">
        <v>2.5399999999999999E-2</v>
      </c>
      <c r="F99">
        <v>9009</v>
      </c>
      <c r="G99">
        <v>0</v>
      </c>
      <c r="H99">
        <v>0</v>
      </c>
      <c r="I99">
        <v>9</v>
      </c>
      <c r="J99">
        <v>12345</v>
      </c>
      <c r="K99" t="s">
        <v>12</v>
      </c>
    </row>
    <row r="100" spans="1:11" ht="20.100000000000001" customHeight="1">
      <c r="A100" t="s">
        <v>11</v>
      </c>
      <c r="B100">
        <v>1000</v>
      </c>
      <c r="C100">
        <v>3</v>
      </c>
      <c r="D100">
        <v>20</v>
      </c>
      <c r="E100" s="2">
        <v>6.1999999999999998E-3</v>
      </c>
      <c r="F100">
        <v>999</v>
      </c>
      <c r="G100">
        <v>0</v>
      </c>
      <c r="H100">
        <v>999</v>
      </c>
      <c r="I100">
        <v>0</v>
      </c>
      <c r="J100">
        <v>12345</v>
      </c>
      <c r="K100" t="s">
        <v>12</v>
      </c>
    </row>
    <row r="101" spans="1:11" ht="20.100000000000001" customHeight="1">
      <c r="A101" t="s">
        <v>13</v>
      </c>
      <c r="B101">
        <v>1000</v>
      </c>
      <c r="C101">
        <v>3</v>
      </c>
      <c r="D101">
        <v>20</v>
      </c>
      <c r="E101" s="2">
        <v>2.53E-2</v>
      </c>
      <c r="F101">
        <v>9009</v>
      </c>
      <c r="G101">
        <v>0</v>
      </c>
      <c r="H101">
        <v>0</v>
      </c>
      <c r="I101">
        <v>9</v>
      </c>
      <c r="J101">
        <v>12345</v>
      </c>
      <c r="K101" t="s">
        <v>12</v>
      </c>
    </row>
    <row r="102" spans="1:11" ht="20.100000000000001" customHeight="1">
      <c r="A102" t="s">
        <v>11</v>
      </c>
      <c r="B102">
        <v>1000</v>
      </c>
      <c r="C102">
        <v>3</v>
      </c>
      <c r="D102">
        <v>21</v>
      </c>
      <c r="E102" s="2">
        <v>5.4000000000000003E-3</v>
      </c>
      <c r="F102">
        <v>999</v>
      </c>
      <c r="G102">
        <v>0</v>
      </c>
      <c r="H102">
        <v>999</v>
      </c>
      <c r="I102">
        <v>0</v>
      </c>
      <c r="J102">
        <v>12345</v>
      </c>
      <c r="K102" t="s">
        <v>12</v>
      </c>
    </row>
    <row r="103" spans="1:11" ht="20.100000000000001" customHeight="1">
      <c r="A103" t="s">
        <v>13</v>
      </c>
      <c r="B103">
        <v>1000</v>
      </c>
      <c r="C103">
        <v>3</v>
      </c>
      <c r="D103">
        <v>21</v>
      </c>
      <c r="E103" s="2">
        <v>2.53E-2</v>
      </c>
      <c r="F103">
        <v>9009</v>
      </c>
      <c r="G103">
        <v>0</v>
      </c>
      <c r="H103">
        <v>0</v>
      </c>
      <c r="I103">
        <v>9</v>
      </c>
      <c r="J103">
        <v>12345</v>
      </c>
      <c r="K103" t="s">
        <v>12</v>
      </c>
    </row>
    <row r="104" spans="1:11" ht="20.100000000000001" customHeight="1">
      <c r="A104" t="s">
        <v>11</v>
      </c>
      <c r="B104">
        <v>1000</v>
      </c>
      <c r="C104">
        <v>3</v>
      </c>
      <c r="D104">
        <v>22</v>
      </c>
      <c r="E104" s="2">
        <v>5.5999999999999999E-3</v>
      </c>
      <c r="F104">
        <v>999</v>
      </c>
      <c r="G104">
        <v>0</v>
      </c>
      <c r="H104">
        <v>999</v>
      </c>
      <c r="I104">
        <v>0</v>
      </c>
      <c r="J104">
        <v>12345</v>
      </c>
      <c r="K104" t="s">
        <v>12</v>
      </c>
    </row>
    <row r="105" spans="1:11" ht="20.100000000000001" customHeight="1">
      <c r="A105" t="s">
        <v>13</v>
      </c>
      <c r="B105">
        <v>1000</v>
      </c>
      <c r="C105">
        <v>3</v>
      </c>
      <c r="D105">
        <v>22</v>
      </c>
      <c r="E105" s="2">
        <v>2.5399999999999999E-2</v>
      </c>
      <c r="F105">
        <v>9009</v>
      </c>
      <c r="G105">
        <v>0</v>
      </c>
      <c r="H105">
        <v>0</v>
      </c>
      <c r="I105">
        <v>9</v>
      </c>
      <c r="J105">
        <v>12345</v>
      </c>
      <c r="K105" t="s">
        <v>12</v>
      </c>
    </row>
    <row r="106" spans="1:11" ht="20.100000000000001" customHeight="1">
      <c r="A106" t="s">
        <v>11</v>
      </c>
      <c r="B106">
        <v>1000</v>
      </c>
      <c r="C106">
        <v>3</v>
      </c>
      <c r="D106">
        <v>23</v>
      </c>
      <c r="E106" s="2">
        <v>6.1999999999999998E-3</v>
      </c>
      <c r="F106">
        <v>999</v>
      </c>
      <c r="G106">
        <v>0</v>
      </c>
      <c r="H106">
        <v>999</v>
      </c>
      <c r="I106">
        <v>0</v>
      </c>
      <c r="J106">
        <v>12345</v>
      </c>
      <c r="K106" t="s">
        <v>12</v>
      </c>
    </row>
    <row r="107" spans="1:11" ht="20.100000000000001" customHeight="1">
      <c r="A107" t="s">
        <v>13</v>
      </c>
      <c r="B107">
        <v>1000</v>
      </c>
      <c r="C107">
        <v>3</v>
      </c>
      <c r="D107">
        <v>23</v>
      </c>
      <c r="E107" s="2">
        <v>2.53E-2</v>
      </c>
      <c r="F107">
        <v>9009</v>
      </c>
      <c r="G107">
        <v>0</v>
      </c>
      <c r="H107">
        <v>0</v>
      </c>
      <c r="I107">
        <v>9</v>
      </c>
      <c r="J107">
        <v>12345</v>
      </c>
      <c r="K107" t="s">
        <v>12</v>
      </c>
    </row>
    <row r="108" spans="1:11" ht="20.100000000000001" customHeight="1">
      <c r="A108" t="s">
        <v>11</v>
      </c>
      <c r="B108">
        <v>1000</v>
      </c>
      <c r="C108">
        <v>3</v>
      </c>
      <c r="D108">
        <v>24</v>
      </c>
      <c r="E108" s="2">
        <v>5.7999999999999996E-3</v>
      </c>
      <c r="F108">
        <v>999</v>
      </c>
      <c r="G108">
        <v>0</v>
      </c>
      <c r="H108">
        <v>999</v>
      </c>
      <c r="I108">
        <v>0</v>
      </c>
      <c r="J108">
        <v>12345</v>
      </c>
      <c r="K108" t="s">
        <v>12</v>
      </c>
    </row>
    <row r="109" spans="1:11" ht="20.100000000000001" customHeight="1">
      <c r="A109" t="s">
        <v>13</v>
      </c>
      <c r="B109">
        <v>1000</v>
      </c>
      <c r="C109">
        <v>3</v>
      </c>
      <c r="D109">
        <v>24</v>
      </c>
      <c r="E109" s="2">
        <v>2.5399999999999999E-2</v>
      </c>
      <c r="F109">
        <v>9009</v>
      </c>
      <c r="G109">
        <v>0</v>
      </c>
      <c r="H109">
        <v>0</v>
      </c>
      <c r="I109">
        <v>9</v>
      </c>
      <c r="J109">
        <v>12345</v>
      </c>
      <c r="K109" t="s">
        <v>12</v>
      </c>
    </row>
    <row r="110" spans="1:11" ht="20.100000000000001" customHeight="1">
      <c r="A110" t="s">
        <v>11</v>
      </c>
      <c r="B110">
        <v>1000</v>
      </c>
      <c r="C110">
        <v>3</v>
      </c>
      <c r="D110">
        <v>25</v>
      </c>
      <c r="E110" s="2">
        <v>6.1000000000000004E-3</v>
      </c>
      <c r="F110">
        <v>999</v>
      </c>
      <c r="G110">
        <v>0</v>
      </c>
      <c r="H110">
        <v>999</v>
      </c>
      <c r="I110">
        <v>0</v>
      </c>
      <c r="J110">
        <v>12345</v>
      </c>
      <c r="K110" t="s">
        <v>12</v>
      </c>
    </row>
    <row r="111" spans="1:11" ht="20.100000000000001" customHeight="1">
      <c r="A111" t="s">
        <v>13</v>
      </c>
      <c r="B111">
        <v>1000</v>
      </c>
      <c r="C111">
        <v>3</v>
      </c>
      <c r="D111">
        <v>25</v>
      </c>
      <c r="E111" s="2">
        <v>2.53E-2</v>
      </c>
      <c r="F111">
        <v>9009</v>
      </c>
      <c r="G111">
        <v>0</v>
      </c>
      <c r="H111">
        <v>0</v>
      </c>
      <c r="I111">
        <v>9</v>
      </c>
      <c r="J111">
        <v>12345</v>
      </c>
      <c r="K111" t="s">
        <v>12</v>
      </c>
    </row>
    <row r="112" spans="1:11" ht="20.100000000000001" customHeight="1">
      <c r="A112" t="s">
        <v>11</v>
      </c>
      <c r="B112">
        <v>1000</v>
      </c>
      <c r="C112">
        <v>3</v>
      </c>
      <c r="D112">
        <v>26</v>
      </c>
      <c r="E112" s="2">
        <v>6.1999999999999998E-3</v>
      </c>
      <c r="F112">
        <v>999</v>
      </c>
      <c r="G112">
        <v>0</v>
      </c>
      <c r="H112">
        <v>999</v>
      </c>
      <c r="I112">
        <v>0</v>
      </c>
      <c r="J112">
        <v>12345</v>
      </c>
      <c r="K112" t="s">
        <v>12</v>
      </c>
    </row>
    <row r="113" spans="1:11" ht="20.100000000000001" customHeight="1">
      <c r="A113" t="s">
        <v>13</v>
      </c>
      <c r="B113">
        <v>1000</v>
      </c>
      <c r="C113">
        <v>3</v>
      </c>
      <c r="D113">
        <v>26</v>
      </c>
      <c r="E113" s="2">
        <v>2.53E-2</v>
      </c>
      <c r="F113">
        <v>9009</v>
      </c>
      <c r="G113">
        <v>0</v>
      </c>
      <c r="H113">
        <v>0</v>
      </c>
      <c r="I113">
        <v>9</v>
      </c>
      <c r="J113">
        <v>12345</v>
      </c>
      <c r="K113" t="s">
        <v>12</v>
      </c>
    </row>
    <row r="114" spans="1:11" ht="20.100000000000001" customHeight="1">
      <c r="A114" t="s">
        <v>11</v>
      </c>
      <c r="B114">
        <v>1000</v>
      </c>
      <c r="C114">
        <v>3</v>
      </c>
      <c r="D114">
        <v>27</v>
      </c>
      <c r="E114" s="2">
        <v>5.7000000000000002E-3</v>
      </c>
      <c r="F114">
        <v>999</v>
      </c>
      <c r="G114">
        <v>0</v>
      </c>
      <c r="H114">
        <v>999</v>
      </c>
      <c r="I114">
        <v>0</v>
      </c>
      <c r="J114">
        <v>12345</v>
      </c>
      <c r="K114" t="s">
        <v>12</v>
      </c>
    </row>
    <row r="115" spans="1:11" ht="20.100000000000001" customHeight="1">
      <c r="A115" t="s">
        <v>13</v>
      </c>
      <c r="B115">
        <v>1000</v>
      </c>
      <c r="C115">
        <v>3</v>
      </c>
      <c r="D115">
        <v>27</v>
      </c>
      <c r="E115" s="2">
        <v>2.5399999999999999E-2</v>
      </c>
      <c r="F115">
        <v>9009</v>
      </c>
      <c r="G115">
        <v>0</v>
      </c>
      <c r="H115">
        <v>0</v>
      </c>
      <c r="I115">
        <v>9</v>
      </c>
      <c r="J115">
        <v>12345</v>
      </c>
      <c r="K115" t="s">
        <v>12</v>
      </c>
    </row>
    <row r="116" spans="1:11" ht="20.100000000000001" customHeight="1">
      <c r="A116" t="s">
        <v>11</v>
      </c>
      <c r="B116">
        <v>1000</v>
      </c>
      <c r="C116">
        <v>3</v>
      </c>
      <c r="D116">
        <v>28</v>
      </c>
      <c r="E116" s="2">
        <v>6.4000000000000003E-3</v>
      </c>
      <c r="F116">
        <v>999</v>
      </c>
      <c r="G116">
        <v>0</v>
      </c>
      <c r="H116">
        <v>999</v>
      </c>
      <c r="I116">
        <v>0</v>
      </c>
      <c r="J116">
        <v>12345</v>
      </c>
      <c r="K116" t="s">
        <v>12</v>
      </c>
    </row>
    <row r="117" spans="1:11" ht="20.100000000000001" customHeight="1">
      <c r="A117" t="s">
        <v>13</v>
      </c>
      <c r="B117">
        <v>1000</v>
      </c>
      <c r="C117">
        <v>3</v>
      </c>
      <c r="D117">
        <v>28</v>
      </c>
      <c r="E117" s="2">
        <v>2.5499999999999998E-2</v>
      </c>
      <c r="F117">
        <v>9009</v>
      </c>
      <c r="G117">
        <v>0</v>
      </c>
      <c r="H117">
        <v>0</v>
      </c>
      <c r="I117">
        <v>9</v>
      </c>
      <c r="J117">
        <v>12345</v>
      </c>
      <c r="K117" t="s">
        <v>12</v>
      </c>
    </row>
    <row r="118" spans="1:11" ht="20.100000000000001" customHeight="1">
      <c r="A118" t="s">
        <v>11</v>
      </c>
      <c r="B118">
        <v>1000</v>
      </c>
      <c r="C118">
        <v>3</v>
      </c>
      <c r="D118">
        <v>29</v>
      </c>
      <c r="E118" s="2">
        <v>6.4000000000000003E-3</v>
      </c>
      <c r="F118">
        <v>999</v>
      </c>
      <c r="G118">
        <v>0</v>
      </c>
      <c r="H118">
        <v>999</v>
      </c>
      <c r="I118">
        <v>0</v>
      </c>
      <c r="J118">
        <v>12345</v>
      </c>
      <c r="K118" t="s">
        <v>12</v>
      </c>
    </row>
    <row r="119" spans="1:11" ht="20.100000000000001" customHeight="1">
      <c r="A119" t="s">
        <v>13</v>
      </c>
      <c r="B119">
        <v>1000</v>
      </c>
      <c r="C119">
        <v>3</v>
      </c>
      <c r="D119">
        <v>29</v>
      </c>
      <c r="E119" s="2">
        <v>2.5499999999999998E-2</v>
      </c>
      <c r="F119">
        <v>9009</v>
      </c>
      <c r="G119">
        <v>0</v>
      </c>
      <c r="H119">
        <v>0</v>
      </c>
      <c r="I119">
        <v>9</v>
      </c>
      <c r="J119">
        <v>12345</v>
      </c>
      <c r="K119" t="s">
        <v>12</v>
      </c>
    </row>
    <row r="120" spans="1:11" ht="20.100000000000001" customHeight="1">
      <c r="A120" t="s">
        <v>11</v>
      </c>
      <c r="B120">
        <v>1000</v>
      </c>
      <c r="C120">
        <v>3</v>
      </c>
      <c r="D120">
        <v>30</v>
      </c>
      <c r="E120" s="2">
        <v>5.8999999999999999E-3</v>
      </c>
      <c r="F120">
        <v>999</v>
      </c>
      <c r="G120">
        <v>0</v>
      </c>
      <c r="H120">
        <v>999</v>
      </c>
      <c r="I120">
        <v>0</v>
      </c>
      <c r="J120">
        <v>12345</v>
      </c>
      <c r="K120" t="s">
        <v>12</v>
      </c>
    </row>
    <row r="121" spans="1:11" ht="20.100000000000001" customHeight="1">
      <c r="A121" t="s">
        <v>13</v>
      </c>
      <c r="B121">
        <v>1000</v>
      </c>
      <c r="C121">
        <v>3</v>
      </c>
      <c r="D121">
        <v>30</v>
      </c>
      <c r="E121" s="2">
        <v>2.5600000000000001E-2</v>
      </c>
      <c r="F121">
        <v>9009</v>
      </c>
      <c r="G121">
        <v>0</v>
      </c>
      <c r="H121">
        <v>0</v>
      </c>
      <c r="I121">
        <v>9</v>
      </c>
      <c r="J121">
        <v>12345</v>
      </c>
      <c r="K121" t="s">
        <v>12</v>
      </c>
    </row>
    <row r="122" spans="1:11" ht="20.100000000000001" customHeight="1">
      <c r="A122" t="s">
        <v>11</v>
      </c>
      <c r="B122">
        <v>1000</v>
      </c>
      <c r="C122">
        <v>4</v>
      </c>
      <c r="D122">
        <v>1</v>
      </c>
      <c r="E122" s="2">
        <v>2.0024999999999999</v>
      </c>
      <c r="F122">
        <v>499500</v>
      </c>
      <c r="G122">
        <v>0</v>
      </c>
      <c r="H122">
        <v>500499</v>
      </c>
      <c r="I122">
        <v>0</v>
      </c>
      <c r="J122">
        <v>12345</v>
      </c>
      <c r="K122" t="s">
        <v>12</v>
      </c>
    </row>
    <row r="123" spans="1:11" ht="20.100000000000001" customHeight="1">
      <c r="A123" t="s">
        <v>13</v>
      </c>
      <c r="B123">
        <v>1000</v>
      </c>
      <c r="C123">
        <v>4</v>
      </c>
      <c r="D123">
        <v>1</v>
      </c>
      <c r="E123" s="2">
        <v>2.76E-2</v>
      </c>
      <c r="F123">
        <v>9016</v>
      </c>
      <c r="G123">
        <v>500</v>
      </c>
      <c r="H123">
        <v>1500</v>
      </c>
      <c r="I123">
        <v>9</v>
      </c>
      <c r="J123">
        <v>12345</v>
      </c>
      <c r="K123" t="s">
        <v>12</v>
      </c>
    </row>
    <row r="124" spans="1:11" ht="20.100000000000001" customHeight="1">
      <c r="A124" t="s">
        <v>11</v>
      </c>
      <c r="B124">
        <v>1000</v>
      </c>
      <c r="C124">
        <v>4</v>
      </c>
      <c r="D124">
        <v>2</v>
      </c>
      <c r="E124" s="2">
        <v>2.1230000000000002</v>
      </c>
      <c r="F124">
        <v>499500</v>
      </c>
      <c r="G124">
        <v>0</v>
      </c>
      <c r="H124">
        <v>500499</v>
      </c>
      <c r="I124">
        <v>0</v>
      </c>
      <c r="J124">
        <v>12345</v>
      </c>
      <c r="K124" t="s">
        <v>12</v>
      </c>
    </row>
    <row r="125" spans="1:11" ht="20.100000000000001" customHeight="1">
      <c r="A125" t="s">
        <v>13</v>
      </c>
      <c r="B125">
        <v>1000</v>
      </c>
      <c r="C125">
        <v>4</v>
      </c>
      <c r="D125">
        <v>2</v>
      </c>
      <c r="E125" s="2">
        <v>2.8899999999999999E-2</v>
      </c>
      <c r="F125">
        <v>9016</v>
      </c>
      <c r="G125">
        <v>500</v>
      </c>
      <c r="H125">
        <v>1500</v>
      </c>
      <c r="I125">
        <v>9</v>
      </c>
      <c r="J125">
        <v>12345</v>
      </c>
      <c r="K125" t="s">
        <v>12</v>
      </c>
    </row>
    <row r="126" spans="1:11" ht="20.100000000000001" customHeight="1">
      <c r="A126" t="s">
        <v>11</v>
      </c>
      <c r="B126">
        <v>1000</v>
      </c>
      <c r="C126">
        <v>4</v>
      </c>
      <c r="D126">
        <v>3</v>
      </c>
      <c r="E126" s="2">
        <v>2.1013999999999999</v>
      </c>
      <c r="F126">
        <v>499500</v>
      </c>
      <c r="G126">
        <v>0</v>
      </c>
      <c r="H126">
        <v>500499</v>
      </c>
      <c r="I126">
        <v>0</v>
      </c>
      <c r="J126">
        <v>12345</v>
      </c>
      <c r="K126" t="s">
        <v>12</v>
      </c>
    </row>
    <row r="127" spans="1:11" ht="20.100000000000001" customHeight="1">
      <c r="A127" t="s">
        <v>13</v>
      </c>
      <c r="B127">
        <v>1000</v>
      </c>
      <c r="C127">
        <v>4</v>
      </c>
      <c r="D127">
        <v>3</v>
      </c>
      <c r="E127" s="2">
        <v>2.3300000000000001E-2</v>
      </c>
      <c r="F127">
        <v>9016</v>
      </c>
      <c r="G127">
        <v>500</v>
      </c>
      <c r="H127">
        <v>1500</v>
      </c>
      <c r="I127">
        <v>9</v>
      </c>
      <c r="J127">
        <v>12345</v>
      </c>
      <c r="K127" t="s">
        <v>12</v>
      </c>
    </row>
    <row r="128" spans="1:11" ht="20.100000000000001" customHeight="1">
      <c r="A128" t="s">
        <v>11</v>
      </c>
      <c r="B128">
        <v>1000</v>
      </c>
      <c r="C128">
        <v>4</v>
      </c>
      <c r="D128">
        <v>4</v>
      </c>
      <c r="E128" s="2">
        <v>1.6944999999999999</v>
      </c>
      <c r="F128">
        <v>499500</v>
      </c>
      <c r="G128">
        <v>0</v>
      </c>
      <c r="H128">
        <v>500499</v>
      </c>
      <c r="I128">
        <v>0</v>
      </c>
      <c r="J128">
        <v>12345</v>
      </c>
      <c r="K128" t="s">
        <v>12</v>
      </c>
    </row>
    <row r="129" spans="1:11" ht="20.100000000000001" customHeight="1">
      <c r="A129" t="s">
        <v>13</v>
      </c>
      <c r="B129">
        <v>1000</v>
      </c>
      <c r="C129">
        <v>4</v>
      </c>
      <c r="D129">
        <v>4</v>
      </c>
      <c r="E129" s="2">
        <v>2.3099999999999999E-2</v>
      </c>
      <c r="F129">
        <v>9016</v>
      </c>
      <c r="G129">
        <v>500</v>
      </c>
      <c r="H129">
        <v>1500</v>
      </c>
      <c r="I129">
        <v>9</v>
      </c>
      <c r="J129">
        <v>12345</v>
      </c>
      <c r="K129" t="s">
        <v>12</v>
      </c>
    </row>
    <row r="130" spans="1:11" ht="20.100000000000001" customHeight="1">
      <c r="A130" t="s">
        <v>11</v>
      </c>
      <c r="B130">
        <v>1000</v>
      </c>
      <c r="C130">
        <v>4</v>
      </c>
      <c r="D130">
        <v>5</v>
      </c>
      <c r="E130" s="2">
        <v>1.6890000000000001</v>
      </c>
      <c r="F130">
        <v>499500</v>
      </c>
      <c r="G130">
        <v>0</v>
      </c>
      <c r="H130">
        <v>500499</v>
      </c>
      <c r="I130">
        <v>0</v>
      </c>
      <c r="J130">
        <v>12345</v>
      </c>
      <c r="K130" t="s">
        <v>12</v>
      </c>
    </row>
    <row r="131" spans="1:11" ht="20.100000000000001" customHeight="1">
      <c r="A131" t="s">
        <v>13</v>
      </c>
      <c r="B131">
        <v>1000</v>
      </c>
      <c r="C131">
        <v>4</v>
      </c>
      <c r="D131">
        <v>5</v>
      </c>
      <c r="E131" s="2">
        <v>2.29E-2</v>
      </c>
      <c r="F131">
        <v>9016</v>
      </c>
      <c r="G131">
        <v>500</v>
      </c>
      <c r="H131">
        <v>1500</v>
      </c>
      <c r="I131">
        <v>9</v>
      </c>
      <c r="J131">
        <v>12345</v>
      </c>
      <c r="K131" t="s">
        <v>12</v>
      </c>
    </row>
    <row r="132" spans="1:11" ht="20.100000000000001" customHeight="1">
      <c r="A132" t="s">
        <v>11</v>
      </c>
      <c r="B132">
        <v>1000</v>
      </c>
      <c r="C132">
        <v>4</v>
      </c>
      <c r="D132">
        <v>6</v>
      </c>
      <c r="E132" s="2">
        <v>1.7161999999999999</v>
      </c>
      <c r="F132">
        <v>499500</v>
      </c>
      <c r="G132">
        <v>0</v>
      </c>
      <c r="H132">
        <v>500499</v>
      </c>
      <c r="I132">
        <v>0</v>
      </c>
      <c r="J132">
        <v>12345</v>
      </c>
      <c r="K132" t="s">
        <v>12</v>
      </c>
    </row>
    <row r="133" spans="1:11" ht="20.100000000000001" customHeight="1">
      <c r="A133" t="s">
        <v>13</v>
      </c>
      <c r="B133">
        <v>1000</v>
      </c>
      <c r="C133">
        <v>4</v>
      </c>
      <c r="D133">
        <v>6</v>
      </c>
      <c r="E133" s="2">
        <v>2.3099999999999999E-2</v>
      </c>
      <c r="F133">
        <v>9016</v>
      </c>
      <c r="G133">
        <v>500</v>
      </c>
      <c r="H133">
        <v>1500</v>
      </c>
      <c r="I133">
        <v>9</v>
      </c>
      <c r="J133">
        <v>12345</v>
      </c>
      <c r="K133" t="s">
        <v>12</v>
      </c>
    </row>
    <row r="134" spans="1:11" ht="20.100000000000001" customHeight="1">
      <c r="A134" t="s">
        <v>11</v>
      </c>
      <c r="B134">
        <v>1000</v>
      </c>
      <c r="C134">
        <v>4</v>
      </c>
      <c r="D134">
        <v>7</v>
      </c>
      <c r="E134" s="2">
        <v>1.6675</v>
      </c>
      <c r="F134">
        <v>499500</v>
      </c>
      <c r="G134">
        <v>0</v>
      </c>
      <c r="H134">
        <v>500499</v>
      </c>
      <c r="I134">
        <v>0</v>
      </c>
      <c r="J134">
        <v>12345</v>
      </c>
      <c r="K134" t="s">
        <v>12</v>
      </c>
    </row>
    <row r="135" spans="1:11" ht="20.100000000000001" customHeight="1">
      <c r="A135" t="s">
        <v>13</v>
      </c>
      <c r="B135">
        <v>1000</v>
      </c>
      <c r="C135">
        <v>4</v>
      </c>
      <c r="D135">
        <v>7</v>
      </c>
      <c r="E135" s="2">
        <v>2.2700000000000001E-2</v>
      </c>
      <c r="F135">
        <v>9016</v>
      </c>
      <c r="G135">
        <v>500</v>
      </c>
      <c r="H135">
        <v>1500</v>
      </c>
      <c r="I135">
        <v>9</v>
      </c>
      <c r="J135">
        <v>12345</v>
      </c>
      <c r="K135" t="s">
        <v>12</v>
      </c>
    </row>
    <row r="136" spans="1:11" ht="20.100000000000001" customHeight="1">
      <c r="A136" t="s">
        <v>11</v>
      </c>
      <c r="B136">
        <v>1000</v>
      </c>
      <c r="C136">
        <v>4</v>
      </c>
      <c r="D136">
        <v>8</v>
      </c>
      <c r="E136" s="2">
        <v>1.6614</v>
      </c>
      <c r="F136">
        <v>499500</v>
      </c>
      <c r="G136">
        <v>0</v>
      </c>
      <c r="H136">
        <v>500499</v>
      </c>
      <c r="I136">
        <v>0</v>
      </c>
      <c r="J136">
        <v>12345</v>
      </c>
      <c r="K136" t="s">
        <v>12</v>
      </c>
    </row>
    <row r="137" spans="1:11" ht="20.100000000000001" customHeight="1">
      <c r="A137" t="s">
        <v>13</v>
      </c>
      <c r="B137">
        <v>1000</v>
      </c>
      <c r="C137">
        <v>4</v>
      </c>
      <c r="D137">
        <v>8</v>
      </c>
      <c r="E137" s="2">
        <v>2.2499999999999999E-2</v>
      </c>
      <c r="F137">
        <v>9016</v>
      </c>
      <c r="G137">
        <v>500</v>
      </c>
      <c r="H137">
        <v>1500</v>
      </c>
      <c r="I137">
        <v>9</v>
      </c>
      <c r="J137">
        <v>12345</v>
      </c>
      <c r="K137" t="s">
        <v>12</v>
      </c>
    </row>
    <row r="138" spans="1:11" ht="20.100000000000001" customHeight="1">
      <c r="A138" t="s">
        <v>11</v>
      </c>
      <c r="B138">
        <v>1000</v>
      </c>
      <c r="C138">
        <v>4</v>
      </c>
      <c r="D138">
        <v>9</v>
      </c>
      <c r="E138" s="2">
        <v>1.6375</v>
      </c>
      <c r="F138">
        <v>499500</v>
      </c>
      <c r="G138">
        <v>0</v>
      </c>
      <c r="H138">
        <v>500499</v>
      </c>
      <c r="I138">
        <v>0</v>
      </c>
      <c r="J138">
        <v>12345</v>
      </c>
      <c r="K138" t="s">
        <v>12</v>
      </c>
    </row>
    <row r="139" spans="1:11" ht="20.100000000000001" customHeight="1">
      <c r="A139" t="s">
        <v>13</v>
      </c>
      <c r="B139">
        <v>1000</v>
      </c>
      <c r="C139">
        <v>4</v>
      </c>
      <c r="D139">
        <v>9</v>
      </c>
      <c r="E139" s="2">
        <v>2.23E-2</v>
      </c>
      <c r="F139">
        <v>9016</v>
      </c>
      <c r="G139">
        <v>500</v>
      </c>
      <c r="H139">
        <v>1500</v>
      </c>
      <c r="I139">
        <v>9</v>
      </c>
      <c r="J139">
        <v>12345</v>
      </c>
      <c r="K139" t="s">
        <v>12</v>
      </c>
    </row>
    <row r="140" spans="1:11" ht="20.100000000000001" customHeight="1">
      <c r="A140" t="s">
        <v>11</v>
      </c>
      <c r="B140">
        <v>1000</v>
      </c>
      <c r="C140">
        <v>4</v>
      </c>
      <c r="D140">
        <v>10</v>
      </c>
      <c r="E140" s="2">
        <v>1.6249</v>
      </c>
      <c r="F140">
        <v>499500</v>
      </c>
      <c r="G140">
        <v>0</v>
      </c>
      <c r="H140">
        <v>500499</v>
      </c>
      <c r="I140">
        <v>0</v>
      </c>
      <c r="J140">
        <v>12345</v>
      </c>
      <c r="K140" t="s">
        <v>12</v>
      </c>
    </row>
    <row r="141" spans="1:11" ht="20.100000000000001" customHeight="1">
      <c r="A141" t="s">
        <v>13</v>
      </c>
      <c r="B141">
        <v>1000</v>
      </c>
      <c r="C141">
        <v>4</v>
      </c>
      <c r="D141">
        <v>10</v>
      </c>
      <c r="E141" s="2">
        <v>2.2200000000000001E-2</v>
      </c>
      <c r="F141">
        <v>9016</v>
      </c>
      <c r="G141">
        <v>500</v>
      </c>
      <c r="H141">
        <v>1500</v>
      </c>
      <c r="I141">
        <v>9</v>
      </c>
      <c r="J141">
        <v>12345</v>
      </c>
      <c r="K141" t="s">
        <v>12</v>
      </c>
    </row>
    <row r="142" spans="1:11" ht="20.100000000000001" customHeight="1">
      <c r="A142" t="s">
        <v>11</v>
      </c>
      <c r="B142">
        <v>1000</v>
      </c>
      <c r="C142">
        <v>4</v>
      </c>
      <c r="D142">
        <v>11</v>
      </c>
      <c r="E142" s="2">
        <v>1.6259999999999999</v>
      </c>
      <c r="F142">
        <v>499500</v>
      </c>
      <c r="G142">
        <v>0</v>
      </c>
      <c r="H142">
        <v>500499</v>
      </c>
      <c r="I142">
        <v>0</v>
      </c>
      <c r="J142">
        <v>12345</v>
      </c>
      <c r="K142" t="s">
        <v>12</v>
      </c>
    </row>
    <row r="143" spans="1:11" ht="20.100000000000001" customHeight="1">
      <c r="A143" t="s">
        <v>13</v>
      </c>
      <c r="B143">
        <v>1000</v>
      </c>
      <c r="C143">
        <v>4</v>
      </c>
      <c r="D143">
        <v>11</v>
      </c>
      <c r="E143" s="2">
        <v>2.2200000000000001E-2</v>
      </c>
      <c r="F143">
        <v>9016</v>
      </c>
      <c r="G143">
        <v>500</v>
      </c>
      <c r="H143">
        <v>1500</v>
      </c>
      <c r="I143">
        <v>9</v>
      </c>
      <c r="J143">
        <v>12345</v>
      </c>
      <c r="K143" t="s">
        <v>12</v>
      </c>
    </row>
    <row r="144" spans="1:11" ht="20.100000000000001" customHeight="1">
      <c r="A144" t="s">
        <v>11</v>
      </c>
      <c r="B144">
        <v>1000</v>
      </c>
      <c r="C144">
        <v>4</v>
      </c>
      <c r="D144">
        <v>12</v>
      </c>
      <c r="E144" s="2">
        <v>1.6378999999999999</v>
      </c>
      <c r="F144">
        <v>499500</v>
      </c>
      <c r="G144">
        <v>0</v>
      </c>
      <c r="H144">
        <v>500499</v>
      </c>
      <c r="I144">
        <v>0</v>
      </c>
      <c r="J144">
        <v>12345</v>
      </c>
      <c r="K144" t="s">
        <v>12</v>
      </c>
    </row>
    <row r="145" spans="1:11" ht="20.100000000000001" customHeight="1">
      <c r="A145" t="s">
        <v>13</v>
      </c>
      <c r="B145">
        <v>1000</v>
      </c>
      <c r="C145">
        <v>4</v>
      </c>
      <c r="D145">
        <v>12</v>
      </c>
      <c r="E145" s="2">
        <v>2.24E-2</v>
      </c>
      <c r="F145">
        <v>9016</v>
      </c>
      <c r="G145">
        <v>500</v>
      </c>
      <c r="H145">
        <v>1500</v>
      </c>
      <c r="I145">
        <v>9</v>
      </c>
      <c r="J145">
        <v>12345</v>
      </c>
      <c r="K145" t="s">
        <v>12</v>
      </c>
    </row>
    <row r="146" spans="1:11" ht="20.100000000000001" customHeight="1">
      <c r="A146" t="s">
        <v>11</v>
      </c>
      <c r="B146">
        <v>1000</v>
      </c>
      <c r="C146">
        <v>4</v>
      </c>
      <c r="D146">
        <v>13</v>
      </c>
      <c r="E146" s="2">
        <v>1.7545999999999999</v>
      </c>
      <c r="F146">
        <v>499500</v>
      </c>
      <c r="G146">
        <v>0</v>
      </c>
      <c r="H146">
        <v>500499</v>
      </c>
      <c r="I146">
        <v>0</v>
      </c>
      <c r="J146">
        <v>12345</v>
      </c>
      <c r="K146" t="s">
        <v>12</v>
      </c>
    </row>
    <row r="147" spans="1:11" ht="20.100000000000001" customHeight="1">
      <c r="A147" t="s">
        <v>13</v>
      </c>
      <c r="B147">
        <v>1000</v>
      </c>
      <c r="C147">
        <v>4</v>
      </c>
      <c r="D147">
        <v>13</v>
      </c>
      <c r="E147" s="2">
        <v>2.3599999999999999E-2</v>
      </c>
      <c r="F147">
        <v>9016</v>
      </c>
      <c r="G147">
        <v>500</v>
      </c>
      <c r="H147">
        <v>1500</v>
      </c>
      <c r="I147">
        <v>9</v>
      </c>
      <c r="J147">
        <v>12345</v>
      </c>
      <c r="K147" t="s">
        <v>12</v>
      </c>
    </row>
    <row r="148" spans="1:11" ht="20.100000000000001" customHeight="1">
      <c r="A148" t="s">
        <v>11</v>
      </c>
      <c r="B148">
        <v>1000</v>
      </c>
      <c r="C148">
        <v>4</v>
      </c>
      <c r="D148">
        <v>14</v>
      </c>
      <c r="E148" s="2">
        <v>1.6641999999999999</v>
      </c>
      <c r="F148">
        <v>499500</v>
      </c>
      <c r="G148">
        <v>0</v>
      </c>
      <c r="H148">
        <v>500499</v>
      </c>
      <c r="I148">
        <v>0</v>
      </c>
      <c r="J148">
        <v>12345</v>
      </c>
      <c r="K148" t="s">
        <v>12</v>
      </c>
    </row>
    <row r="149" spans="1:11" ht="20.100000000000001" customHeight="1">
      <c r="A149" t="s">
        <v>13</v>
      </c>
      <c r="B149">
        <v>1000</v>
      </c>
      <c r="C149">
        <v>4</v>
      </c>
      <c r="D149">
        <v>14</v>
      </c>
      <c r="E149" s="2">
        <v>2.29E-2</v>
      </c>
      <c r="F149">
        <v>9016</v>
      </c>
      <c r="G149">
        <v>500</v>
      </c>
      <c r="H149">
        <v>1500</v>
      </c>
      <c r="I149">
        <v>9</v>
      </c>
      <c r="J149">
        <v>12345</v>
      </c>
      <c r="K149" t="s">
        <v>12</v>
      </c>
    </row>
    <row r="150" spans="1:11" ht="20.100000000000001" customHeight="1">
      <c r="A150" t="s">
        <v>11</v>
      </c>
      <c r="B150">
        <v>1000</v>
      </c>
      <c r="C150">
        <v>4</v>
      </c>
      <c r="D150">
        <v>15</v>
      </c>
      <c r="E150" s="2">
        <v>1.6842999999999999</v>
      </c>
      <c r="F150">
        <v>499500</v>
      </c>
      <c r="G150">
        <v>0</v>
      </c>
      <c r="H150">
        <v>500499</v>
      </c>
      <c r="I150">
        <v>0</v>
      </c>
      <c r="J150">
        <v>12345</v>
      </c>
      <c r="K150" t="s">
        <v>12</v>
      </c>
    </row>
    <row r="151" spans="1:11" ht="20.100000000000001" customHeight="1">
      <c r="A151" t="s">
        <v>13</v>
      </c>
      <c r="B151">
        <v>1000</v>
      </c>
      <c r="C151">
        <v>4</v>
      </c>
      <c r="D151">
        <v>15</v>
      </c>
      <c r="E151" s="2">
        <v>2.29E-2</v>
      </c>
      <c r="F151">
        <v>9016</v>
      </c>
      <c r="G151">
        <v>500</v>
      </c>
      <c r="H151">
        <v>1500</v>
      </c>
      <c r="I151">
        <v>9</v>
      </c>
      <c r="J151">
        <v>12345</v>
      </c>
      <c r="K151" t="s">
        <v>12</v>
      </c>
    </row>
    <row r="152" spans="1:11" ht="20.100000000000001" customHeight="1">
      <c r="A152" t="s">
        <v>11</v>
      </c>
      <c r="B152">
        <v>1000</v>
      </c>
      <c r="C152">
        <v>4</v>
      </c>
      <c r="D152">
        <v>16</v>
      </c>
      <c r="E152" s="2">
        <v>1.6585000000000001</v>
      </c>
      <c r="F152">
        <v>499500</v>
      </c>
      <c r="G152">
        <v>0</v>
      </c>
      <c r="H152">
        <v>500499</v>
      </c>
      <c r="I152">
        <v>0</v>
      </c>
      <c r="J152">
        <v>12345</v>
      </c>
      <c r="K152" t="s">
        <v>12</v>
      </c>
    </row>
    <row r="153" spans="1:11" ht="20.100000000000001" customHeight="1">
      <c r="A153" t="s">
        <v>13</v>
      </c>
      <c r="B153">
        <v>1000</v>
      </c>
      <c r="C153">
        <v>4</v>
      </c>
      <c r="D153">
        <v>16</v>
      </c>
      <c r="E153" s="2">
        <v>2.2700000000000001E-2</v>
      </c>
      <c r="F153">
        <v>9016</v>
      </c>
      <c r="G153">
        <v>500</v>
      </c>
      <c r="H153">
        <v>1500</v>
      </c>
      <c r="I153">
        <v>9</v>
      </c>
      <c r="J153">
        <v>12345</v>
      </c>
      <c r="K153" t="s">
        <v>12</v>
      </c>
    </row>
    <row r="154" spans="1:11" ht="20.100000000000001" customHeight="1">
      <c r="A154" t="s">
        <v>11</v>
      </c>
      <c r="B154">
        <v>1000</v>
      </c>
      <c r="C154">
        <v>4</v>
      </c>
      <c r="D154">
        <v>17</v>
      </c>
      <c r="E154" s="2">
        <v>1.6604000000000001</v>
      </c>
      <c r="F154">
        <v>499500</v>
      </c>
      <c r="G154">
        <v>0</v>
      </c>
      <c r="H154">
        <v>500499</v>
      </c>
      <c r="I154">
        <v>0</v>
      </c>
      <c r="J154">
        <v>12345</v>
      </c>
      <c r="K154" t="s">
        <v>12</v>
      </c>
    </row>
    <row r="155" spans="1:11" ht="20.100000000000001" customHeight="1">
      <c r="A155" t="s">
        <v>13</v>
      </c>
      <c r="B155">
        <v>1000</v>
      </c>
      <c r="C155">
        <v>4</v>
      </c>
      <c r="D155">
        <v>17</v>
      </c>
      <c r="E155" s="2">
        <v>2.2700000000000001E-2</v>
      </c>
      <c r="F155">
        <v>9016</v>
      </c>
      <c r="G155">
        <v>500</v>
      </c>
      <c r="H155">
        <v>1500</v>
      </c>
      <c r="I155">
        <v>9</v>
      </c>
      <c r="J155">
        <v>12345</v>
      </c>
      <c r="K155" t="s">
        <v>12</v>
      </c>
    </row>
    <row r="156" spans="1:11" ht="20.100000000000001" customHeight="1">
      <c r="A156" t="s">
        <v>11</v>
      </c>
      <c r="B156">
        <v>1000</v>
      </c>
      <c r="C156">
        <v>4</v>
      </c>
      <c r="D156">
        <v>18</v>
      </c>
      <c r="E156" s="2">
        <v>1.6781999999999999</v>
      </c>
      <c r="F156">
        <v>499500</v>
      </c>
      <c r="G156">
        <v>0</v>
      </c>
      <c r="H156">
        <v>500499</v>
      </c>
      <c r="I156">
        <v>0</v>
      </c>
      <c r="J156">
        <v>12345</v>
      </c>
      <c r="K156" t="s">
        <v>12</v>
      </c>
    </row>
    <row r="157" spans="1:11" ht="20.100000000000001" customHeight="1">
      <c r="A157" t="s">
        <v>13</v>
      </c>
      <c r="B157">
        <v>1000</v>
      </c>
      <c r="C157">
        <v>4</v>
      </c>
      <c r="D157">
        <v>18</v>
      </c>
      <c r="E157" s="2">
        <v>2.29E-2</v>
      </c>
      <c r="F157">
        <v>9016</v>
      </c>
      <c r="G157">
        <v>500</v>
      </c>
      <c r="H157">
        <v>1500</v>
      </c>
      <c r="I157">
        <v>9</v>
      </c>
      <c r="J157">
        <v>12345</v>
      </c>
      <c r="K157" t="s">
        <v>12</v>
      </c>
    </row>
    <row r="158" spans="1:11" ht="20.100000000000001" customHeight="1">
      <c r="A158" t="s">
        <v>11</v>
      </c>
      <c r="B158">
        <v>1000</v>
      </c>
      <c r="C158">
        <v>4</v>
      </c>
      <c r="D158">
        <v>19</v>
      </c>
      <c r="E158" s="2">
        <v>1.6686000000000001</v>
      </c>
      <c r="F158">
        <v>499500</v>
      </c>
      <c r="G158">
        <v>0</v>
      </c>
      <c r="H158">
        <v>500499</v>
      </c>
      <c r="I158">
        <v>0</v>
      </c>
      <c r="J158">
        <v>12345</v>
      </c>
      <c r="K158" t="s">
        <v>12</v>
      </c>
    </row>
    <row r="159" spans="1:11" ht="20.100000000000001" customHeight="1">
      <c r="A159" t="s">
        <v>13</v>
      </c>
      <c r="B159">
        <v>1000</v>
      </c>
      <c r="C159">
        <v>4</v>
      </c>
      <c r="D159">
        <v>19</v>
      </c>
      <c r="E159" s="2">
        <v>2.29E-2</v>
      </c>
      <c r="F159">
        <v>9016</v>
      </c>
      <c r="G159">
        <v>500</v>
      </c>
      <c r="H159">
        <v>1500</v>
      </c>
      <c r="I159">
        <v>9</v>
      </c>
      <c r="J159">
        <v>12345</v>
      </c>
      <c r="K159" t="s">
        <v>12</v>
      </c>
    </row>
    <row r="160" spans="1:11" ht="20.100000000000001" customHeight="1">
      <c r="A160" t="s">
        <v>11</v>
      </c>
      <c r="B160">
        <v>1000</v>
      </c>
      <c r="C160">
        <v>4</v>
      </c>
      <c r="D160">
        <v>20</v>
      </c>
      <c r="E160" s="2">
        <v>1.6857</v>
      </c>
      <c r="F160">
        <v>499500</v>
      </c>
      <c r="G160">
        <v>0</v>
      </c>
      <c r="H160">
        <v>500499</v>
      </c>
      <c r="I160">
        <v>0</v>
      </c>
      <c r="J160">
        <v>12345</v>
      </c>
      <c r="K160" t="s">
        <v>12</v>
      </c>
    </row>
    <row r="161" spans="1:11" ht="20.100000000000001" customHeight="1">
      <c r="A161" t="s">
        <v>13</v>
      </c>
      <c r="B161">
        <v>1000</v>
      </c>
      <c r="C161">
        <v>4</v>
      </c>
      <c r="D161">
        <v>20</v>
      </c>
      <c r="E161" s="2">
        <v>2.3099999999999999E-2</v>
      </c>
      <c r="F161">
        <v>9016</v>
      </c>
      <c r="G161">
        <v>500</v>
      </c>
      <c r="H161">
        <v>1500</v>
      </c>
      <c r="I161">
        <v>9</v>
      </c>
      <c r="J161">
        <v>12345</v>
      </c>
      <c r="K161" t="s">
        <v>12</v>
      </c>
    </row>
    <row r="162" spans="1:11" ht="20.100000000000001" customHeight="1">
      <c r="A162" t="s">
        <v>11</v>
      </c>
      <c r="B162">
        <v>1000</v>
      </c>
      <c r="C162">
        <v>4</v>
      </c>
      <c r="D162">
        <v>21</v>
      </c>
      <c r="E162" s="2">
        <v>1.6831</v>
      </c>
      <c r="F162">
        <v>499500</v>
      </c>
      <c r="G162">
        <v>0</v>
      </c>
      <c r="H162">
        <v>500499</v>
      </c>
      <c r="I162">
        <v>0</v>
      </c>
      <c r="J162">
        <v>12345</v>
      </c>
      <c r="K162" t="s">
        <v>12</v>
      </c>
    </row>
    <row r="163" spans="1:11" ht="20.100000000000001" customHeight="1">
      <c r="A163" t="s">
        <v>13</v>
      </c>
      <c r="B163">
        <v>1000</v>
      </c>
      <c r="C163">
        <v>4</v>
      </c>
      <c r="D163">
        <v>21</v>
      </c>
      <c r="E163" s="2">
        <v>2.3099999999999999E-2</v>
      </c>
      <c r="F163">
        <v>9016</v>
      </c>
      <c r="G163">
        <v>500</v>
      </c>
      <c r="H163">
        <v>1500</v>
      </c>
      <c r="I163">
        <v>9</v>
      </c>
      <c r="J163">
        <v>12345</v>
      </c>
      <c r="K163" t="s">
        <v>12</v>
      </c>
    </row>
    <row r="164" spans="1:11" ht="20.100000000000001" customHeight="1">
      <c r="A164" t="s">
        <v>11</v>
      </c>
      <c r="B164">
        <v>1000</v>
      </c>
      <c r="C164">
        <v>4</v>
      </c>
      <c r="D164">
        <v>22</v>
      </c>
      <c r="E164" s="2">
        <v>1.792</v>
      </c>
      <c r="F164">
        <v>499500</v>
      </c>
      <c r="G164">
        <v>0</v>
      </c>
      <c r="H164">
        <v>500499</v>
      </c>
      <c r="I164">
        <v>0</v>
      </c>
      <c r="J164">
        <v>12345</v>
      </c>
      <c r="K164" t="s">
        <v>12</v>
      </c>
    </row>
    <row r="165" spans="1:11" ht="20.100000000000001" customHeight="1">
      <c r="A165" t="s">
        <v>13</v>
      </c>
      <c r="B165">
        <v>1000</v>
      </c>
      <c r="C165">
        <v>4</v>
      </c>
      <c r="D165">
        <v>22</v>
      </c>
      <c r="E165" s="2">
        <v>4.7E-2</v>
      </c>
      <c r="F165">
        <v>9016</v>
      </c>
      <c r="G165">
        <v>500</v>
      </c>
      <c r="H165">
        <v>1500</v>
      </c>
      <c r="I165">
        <v>9</v>
      </c>
      <c r="J165">
        <v>12345</v>
      </c>
      <c r="K165" t="s">
        <v>12</v>
      </c>
    </row>
    <row r="166" spans="1:11" ht="20.100000000000001" customHeight="1">
      <c r="A166" t="s">
        <v>11</v>
      </c>
      <c r="B166">
        <v>1000</v>
      </c>
      <c r="C166">
        <v>4</v>
      </c>
      <c r="D166">
        <v>23</v>
      </c>
      <c r="E166" s="2">
        <v>1.7073</v>
      </c>
      <c r="F166">
        <v>499500</v>
      </c>
      <c r="G166">
        <v>0</v>
      </c>
      <c r="H166">
        <v>500499</v>
      </c>
      <c r="I166">
        <v>0</v>
      </c>
      <c r="J166">
        <v>12345</v>
      </c>
      <c r="K166" t="s">
        <v>12</v>
      </c>
    </row>
    <row r="167" spans="1:11" ht="20.100000000000001" customHeight="1">
      <c r="A167" t="s">
        <v>13</v>
      </c>
      <c r="B167">
        <v>1000</v>
      </c>
      <c r="C167">
        <v>4</v>
      </c>
      <c r="D167">
        <v>23</v>
      </c>
      <c r="E167" s="2">
        <v>2.3099999999999999E-2</v>
      </c>
      <c r="F167">
        <v>9016</v>
      </c>
      <c r="G167">
        <v>500</v>
      </c>
      <c r="H167">
        <v>1500</v>
      </c>
      <c r="I167">
        <v>9</v>
      </c>
      <c r="J167">
        <v>12345</v>
      </c>
      <c r="K167" t="s">
        <v>12</v>
      </c>
    </row>
    <row r="168" spans="1:11" ht="20.100000000000001" customHeight="1">
      <c r="A168" t="s">
        <v>11</v>
      </c>
      <c r="B168">
        <v>1000</v>
      </c>
      <c r="C168">
        <v>4</v>
      </c>
      <c r="D168">
        <v>24</v>
      </c>
      <c r="E168" s="2">
        <v>1.7504999999999999</v>
      </c>
      <c r="F168">
        <v>499500</v>
      </c>
      <c r="G168">
        <v>0</v>
      </c>
      <c r="H168">
        <v>500499</v>
      </c>
      <c r="I168">
        <v>0</v>
      </c>
      <c r="J168">
        <v>12345</v>
      </c>
      <c r="K168" t="s">
        <v>12</v>
      </c>
    </row>
    <row r="169" spans="1:11" ht="20.100000000000001" customHeight="1">
      <c r="A169" t="s">
        <v>13</v>
      </c>
      <c r="B169">
        <v>1000</v>
      </c>
      <c r="C169">
        <v>4</v>
      </c>
      <c r="D169">
        <v>24</v>
      </c>
      <c r="E169" s="2">
        <v>2.3400000000000001E-2</v>
      </c>
      <c r="F169">
        <v>9016</v>
      </c>
      <c r="G169">
        <v>500</v>
      </c>
      <c r="H169">
        <v>1500</v>
      </c>
      <c r="I169">
        <v>9</v>
      </c>
      <c r="J169">
        <v>12345</v>
      </c>
      <c r="K169" t="s">
        <v>12</v>
      </c>
    </row>
    <row r="170" spans="1:11" ht="20.100000000000001" customHeight="1">
      <c r="A170" t="s">
        <v>11</v>
      </c>
      <c r="B170">
        <v>1000</v>
      </c>
      <c r="C170">
        <v>4</v>
      </c>
      <c r="D170">
        <v>25</v>
      </c>
      <c r="E170" s="2">
        <v>1.7565</v>
      </c>
      <c r="F170">
        <v>499500</v>
      </c>
      <c r="G170">
        <v>0</v>
      </c>
      <c r="H170">
        <v>500499</v>
      </c>
      <c r="I170">
        <v>0</v>
      </c>
      <c r="J170">
        <v>12345</v>
      </c>
      <c r="K170" t="s">
        <v>12</v>
      </c>
    </row>
    <row r="171" spans="1:11" ht="20.100000000000001" customHeight="1">
      <c r="A171" t="s">
        <v>13</v>
      </c>
      <c r="B171">
        <v>1000</v>
      </c>
      <c r="C171">
        <v>4</v>
      </c>
      <c r="D171">
        <v>25</v>
      </c>
      <c r="E171" s="2">
        <v>2.3900000000000001E-2</v>
      </c>
      <c r="F171">
        <v>9016</v>
      </c>
      <c r="G171">
        <v>500</v>
      </c>
      <c r="H171">
        <v>1500</v>
      </c>
      <c r="I171">
        <v>9</v>
      </c>
      <c r="J171">
        <v>12345</v>
      </c>
      <c r="K171" t="s">
        <v>12</v>
      </c>
    </row>
    <row r="172" spans="1:11" ht="20.100000000000001" customHeight="1">
      <c r="A172" t="s">
        <v>11</v>
      </c>
      <c r="B172">
        <v>1000</v>
      </c>
      <c r="C172">
        <v>4</v>
      </c>
      <c r="D172">
        <v>26</v>
      </c>
      <c r="E172" s="2">
        <v>1.7356</v>
      </c>
      <c r="F172">
        <v>499500</v>
      </c>
      <c r="G172">
        <v>0</v>
      </c>
      <c r="H172">
        <v>500499</v>
      </c>
      <c r="I172">
        <v>0</v>
      </c>
      <c r="J172">
        <v>12345</v>
      </c>
      <c r="K172" t="s">
        <v>12</v>
      </c>
    </row>
    <row r="173" spans="1:11" ht="20.100000000000001" customHeight="1">
      <c r="A173" t="s">
        <v>13</v>
      </c>
      <c r="B173">
        <v>1000</v>
      </c>
      <c r="C173">
        <v>4</v>
      </c>
      <c r="D173">
        <v>26</v>
      </c>
      <c r="E173" s="2">
        <v>2.3599999999999999E-2</v>
      </c>
      <c r="F173">
        <v>9016</v>
      </c>
      <c r="G173">
        <v>500</v>
      </c>
      <c r="H173">
        <v>1500</v>
      </c>
      <c r="I173">
        <v>9</v>
      </c>
      <c r="J173">
        <v>12345</v>
      </c>
      <c r="K173" t="s">
        <v>12</v>
      </c>
    </row>
    <row r="174" spans="1:11" ht="20.100000000000001" customHeight="1">
      <c r="A174" t="s">
        <v>11</v>
      </c>
      <c r="B174">
        <v>1000</v>
      </c>
      <c r="C174">
        <v>4</v>
      </c>
      <c r="D174">
        <v>27</v>
      </c>
      <c r="E174" s="2">
        <v>1.7139</v>
      </c>
      <c r="F174">
        <v>499500</v>
      </c>
      <c r="G174">
        <v>0</v>
      </c>
      <c r="H174">
        <v>500499</v>
      </c>
      <c r="I174">
        <v>0</v>
      </c>
      <c r="J174">
        <v>12345</v>
      </c>
      <c r="K174" t="s">
        <v>12</v>
      </c>
    </row>
    <row r="175" spans="1:11" ht="20.100000000000001" customHeight="1">
      <c r="A175" t="s">
        <v>13</v>
      </c>
      <c r="B175">
        <v>1000</v>
      </c>
      <c r="C175">
        <v>4</v>
      </c>
      <c r="D175">
        <v>27</v>
      </c>
      <c r="E175" s="2">
        <v>2.35E-2</v>
      </c>
      <c r="F175">
        <v>9016</v>
      </c>
      <c r="G175">
        <v>500</v>
      </c>
      <c r="H175">
        <v>1500</v>
      </c>
      <c r="I175">
        <v>9</v>
      </c>
      <c r="J175">
        <v>12345</v>
      </c>
      <c r="K175" t="s">
        <v>12</v>
      </c>
    </row>
    <row r="176" spans="1:11" ht="20.100000000000001" customHeight="1">
      <c r="A176" t="s">
        <v>11</v>
      </c>
      <c r="B176">
        <v>1000</v>
      </c>
      <c r="C176">
        <v>4</v>
      </c>
      <c r="D176">
        <v>28</v>
      </c>
      <c r="E176" s="2">
        <v>1.7298</v>
      </c>
      <c r="F176">
        <v>499500</v>
      </c>
      <c r="G176">
        <v>0</v>
      </c>
      <c r="H176">
        <v>500499</v>
      </c>
      <c r="I176">
        <v>0</v>
      </c>
      <c r="J176">
        <v>12345</v>
      </c>
      <c r="K176" t="s">
        <v>12</v>
      </c>
    </row>
    <row r="177" spans="1:11" ht="20.100000000000001" customHeight="1">
      <c r="A177" t="s">
        <v>13</v>
      </c>
      <c r="B177">
        <v>1000</v>
      </c>
      <c r="C177">
        <v>4</v>
      </c>
      <c r="D177">
        <v>28</v>
      </c>
      <c r="E177" s="2">
        <v>2.3599999999999999E-2</v>
      </c>
      <c r="F177">
        <v>9016</v>
      </c>
      <c r="G177">
        <v>500</v>
      </c>
      <c r="H177">
        <v>1500</v>
      </c>
      <c r="I177">
        <v>9</v>
      </c>
      <c r="J177">
        <v>12345</v>
      </c>
      <c r="K177" t="s">
        <v>12</v>
      </c>
    </row>
    <row r="178" spans="1:11" ht="20.100000000000001" customHeight="1">
      <c r="A178" t="s">
        <v>11</v>
      </c>
      <c r="B178">
        <v>1000</v>
      </c>
      <c r="C178">
        <v>4</v>
      </c>
      <c r="D178">
        <v>29</v>
      </c>
      <c r="E178" s="2">
        <v>1.7269000000000001</v>
      </c>
      <c r="F178">
        <v>499500</v>
      </c>
      <c r="G178">
        <v>0</v>
      </c>
      <c r="H178">
        <v>500499</v>
      </c>
      <c r="I178">
        <v>0</v>
      </c>
      <c r="J178">
        <v>12345</v>
      </c>
      <c r="K178" t="s">
        <v>12</v>
      </c>
    </row>
    <row r="179" spans="1:11" ht="20.100000000000001" customHeight="1">
      <c r="A179" t="s">
        <v>13</v>
      </c>
      <c r="B179">
        <v>1000</v>
      </c>
      <c r="C179">
        <v>4</v>
      </c>
      <c r="D179">
        <v>29</v>
      </c>
      <c r="E179" s="2">
        <v>2.3699999999999999E-2</v>
      </c>
      <c r="F179">
        <v>9016</v>
      </c>
      <c r="G179">
        <v>500</v>
      </c>
      <c r="H179">
        <v>1500</v>
      </c>
      <c r="I179">
        <v>9</v>
      </c>
      <c r="J179">
        <v>12345</v>
      </c>
      <c r="K179" t="s">
        <v>12</v>
      </c>
    </row>
    <row r="180" spans="1:11" ht="20.100000000000001" customHeight="1">
      <c r="A180" t="s">
        <v>11</v>
      </c>
      <c r="B180">
        <v>1000</v>
      </c>
      <c r="C180">
        <v>4</v>
      </c>
      <c r="D180">
        <v>30</v>
      </c>
      <c r="E180" s="2">
        <v>1.7503</v>
      </c>
      <c r="F180">
        <v>499500</v>
      </c>
      <c r="G180">
        <v>0</v>
      </c>
      <c r="H180">
        <v>500499</v>
      </c>
      <c r="I180">
        <v>0</v>
      </c>
      <c r="J180">
        <v>12345</v>
      </c>
      <c r="K180" t="s">
        <v>12</v>
      </c>
    </row>
    <row r="181" spans="1:11" ht="20.100000000000001" customHeight="1">
      <c r="A181" t="s">
        <v>13</v>
      </c>
      <c r="B181">
        <v>1000</v>
      </c>
      <c r="C181">
        <v>4</v>
      </c>
      <c r="D181">
        <v>30</v>
      </c>
      <c r="E181" s="2">
        <v>2.3699999999999999E-2</v>
      </c>
      <c r="F181">
        <v>9016</v>
      </c>
      <c r="G181">
        <v>500</v>
      </c>
      <c r="H181">
        <v>1500</v>
      </c>
      <c r="I181">
        <v>9</v>
      </c>
      <c r="J181">
        <v>12345</v>
      </c>
      <c r="K181" t="s">
        <v>12</v>
      </c>
    </row>
    <row r="182" spans="1:11" ht="20.100000000000001" customHeight="1">
      <c r="A182" t="s">
        <v>11</v>
      </c>
      <c r="B182">
        <v>5000</v>
      </c>
      <c r="C182">
        <v>2</v>
      </c>
      <c r="D182">
        <v>1</v>
      </c>
      <c r="E182" s="2">
        <v>28.5732</v>
      </c>
      <c r="F182">
        <v>6224497</v>
      </c>
      <c r="G182">
        <v>0</v>
      </c>
      <c r="H182">
        <v>6224504</v>
      </c>
      <c r="I182">
        <v>0</v>
      </c>
      <c r="J182">
        <v>12345</v>
      </c>
      <c r="K182" t="s">
        <v>12</v>
      </c>
    </row>
    <row r="183" spans="1:11" ht="20.100000000000001" customHeight="1">
      <c r="A183" t="s">
        <v>13</v>
      </c>
      <c r="B183">
        <v>5000</v>
      </c>
      <c r="C183">
        <v>2</v>
      </c>
      <c r="D183">
        <v>1</v>
      </c>
      <c r="E183" s="2">
        <v>0.72960000000000003</v>
      </c>
      <c r="F183">
        <v>83129</v>
      </c>
      <c r="G183">
        <v>14436</v>
      </c>
      <c r="H183">
        <v>43308</v>
      </c>
      <c r="I183">
        <v>30</v>
      </c>
      <c r="J183">
        <v>12345</v>
      </c>
      <c r="K183" t="s">
        <v>12</v>
      </c>
    </row>
    <row r="184" spans="1:11" ht="20.100000000000001" customHeight="1">
      <c r="A184" t="s">
        <v>11</v>
      </c>
      <c r="B184">
        <v>5000</v>
      </c>
      <c r="C184">
        <v>2</v>
      </c>
      <c r="D184">
        <v>2</v>
      </c>
      <c r="E184" s="2">
        <v>24.571200000000001</v>
      </c>
      <c r="F184">
        <v>6222264</v>
      </c>
      <c r="G184">
        <v>0</v>
      </c>
      <c r="H184">
        <v>6222273</v>
      </c>
      <c r="I184">
        <v>0</v>
      </c>
      <c r="J184">
        <v>12345</v>
      </c>
      <c r="K184" t="s">
        <v>12</v>
      </c>
    </row>
    <row r="185" spans="1:11" ht="20.100000000000001" customHeight="1">
      <c r="A185" t="s">
        <v>13</v>
      </c>
      <c r="B185">
        <v>5000</v>
      </c>
      <c r="C185">
        <v>2</v>
      </c>
      <c r="D185">
        <v>2</v>
      </c>
      <c r="E185" s="2">
        <v>0.58199999999999996</v>
      </c>
      <c r="F185">
        <v>77736</v>
      </c>
      <c r="G185">
        <v>14657</v>
      </c>
      <c r="H185">
        <v>43971</v>
      </c>
      <c r="I185">
        <v>30</v>
      </c>
      <c r="J185">
        <v>12345</v>
      </c>
      <c r="K185" t="s">
        <v>12</v>
      </c>
    </row>
    <row r="186" spans="1:11" ht="20.100000000000001" customHeight="1">
      <c r="A186" t="s">
        <v>11</v>
      </c>
      <c r="B186">
        <v>5000</v>
      </c>
      <c r="C186">
        <v>2</v>
      </c>
      <c r="D186">
        <v>3</v>
      </c>
      <c r="E186" s="2">
        <v>24.666499999999999</v>
      </c>
      <c r="F186">
        <v>6323448</v>
      </c>
      <c r="G186">
        <v>0</v>
      </c>
      <c r="H186">
        <v>6323454</v>
      </c>
      <c r="I186">
        <v>0</v>
      </c>
      <c r="J186">
        <v>12345</v>
      </c>
      <c r="K186" t="s">
        <v>12</v>
      </c>
    </row>
    <row r="187" spans="1:11" ht="20.100000000000001" customHeight="1">
      <c r="A187" t="s">
        <v>13</v>
      </c>
      <c r="B187">
        <v>5000</v>
      </c>
      <c r="C187">
        <v>2</v>
      </c>
      <c r="D187">
        <v>3</v>
      </c>
      <c r="E187" s="2">
        <v>0.59460000000000002</v>
      </c>
      <c r="F187">
        <v>79354</v>
      </c>
      <c r="G187">
        <v>14696</v>
      </c>
      <c r="H187">
        <v>44088</v>
      </c>
      <c r="I187">
        <v>26</v>
      </c>
      <c r="J187">
        <v>12345</v>
      </c>
      <c r="K187" t="s">
        <v>12</v>
      </c>
    </row>
    <row r="188" spans="1:11" ht="20.100000000000001" customHeight="1">
      <c r="A188" t="s">
        <v>11</v>
      </c>
      <c r="B188">
        <v>5000</v>
      </c>
      <c r="C188">
        <v>2</v>
      </c>
      <c r="D188">
        <v>4</v>
      </c>
      <c r="E188" s="2">
        <v>24.685099999999998</v>
      </c>
      <c r="F188">
        <v>6232057</v>
      </c>
      <c r="G188">
        <v>0</v>
      </c>
      <c r="H188">
        <v>6232063</v>
      </c>
      <c r="I188">
        <v>0</v>
      </c>
      <c r="J188">
        <v>12345</v>
      </c>
      <c r="K188" t="s">
        <v>12</v>
      </c>
    </row>
    <row r="189" spans="1:11" ht="20.100000000000001" customHeight="1">
      <c r="A189" t="s">
        <v>13</v>
      </c>
      <c r="B189">
        <v>5000</v>
      </c>
      <c r="C189">
        <v>2</v>
      </c>
      <c r="D189">
        <v>4</v>
      </c>
      <c r="E189" s="2">
        <v>0.62580000000000002</v>
      </c>
      <c r="F189">
        <v>83164</v>
      </c>
      <c r="G189">
        <v>14603</v>
      </c>
      <c r="H189">
        <v>43809</v>
      </c>
      <c r="I189">
        <v>27</v>
      </c>
      <c r="J189">
        <v>12345</v>
      </c>
      <c r="K189" t="s">
        <v>12</v>
      </c>
    </row>
    <row r="190" spans="1:11" ht="20.100000000000001" customHeight="1">
      <c r="A190" t="s">
        <v>11</v>
      </c>
      <c r="B190">
        <v>5000</v>
      </c>
      <c r="C190">
        <v>2</v>
      </c>
      <c r="D190">
        <v>5</v>
      </c>
      <c r="E190" s="2">
        <v>24.776399999999999</v>
      </c>
      <c r="F190">
        <v>6250688</v>
      </c>
      <c r="G190">
        <v>0</v>
      </c>
      <c r="H190">
        <v>6250692</v>
      </c>
      <c r="I190">
        <v>0</v>
      </c>
      <c r="J190">
        <v>12345</v>
      </c>
      <c r="K190" t="s">
        <v>12</v>
      </c>
    </row>
    <row r="191" spans="1:11" ht="20.100000000000001" customHeight="1">
      <c r="A191" t="s">
        <v>13</v>
      </c>
      <c r="B191">
        <v>5000</v>
      </c>
      <c r="C191">
        <v>2</v>
      </c>
      <c r="D191">
        <v>5</v>
      </c>
      <c r="E191" s="2">
        <v>0.58340000000000003</v>
      </c>
      <c r="F191">
        <v>83613</v>
      </c>
      <c r="G191">
        <v>14499</v>
      </c>
      <c r="H191">
        <v>43497</v>
      </c>
      <c r="I191">
        <v>30</v>
      </c>
      <c r="J191">
        <v>12345</v>
      </c>
      <c r="K191" t="s">
        <v>12</v>
      </c>
    </row>
    <row r="192" spans="1:11" ht="20.100000000000001" customHeight="1">
      <c r="A192" t="s">
        <v>11</v>
      </c>
      <c r="B192">
        <v>5000</v>
      </c>
      <c r="C192">
        <v>2</v>
      </c>
      <c r="D192">
        <v>6</v>
      </c>
      <c r="E192" s="2">
        <v>24.2546</v>
      </c>
      <c r="F192">
        <v>6189694</v>
      </c>
      <c r="G192">
        <v>0</v>
      </c>
      <c r="H192">
        <v>6189697</v>
      </c>
      <c r="I192">
        <v>0</v>
      </c>
      <c r="J192">
        <v>12345</v>
      </c>
      <c r="K192" t="s">
        <v>12</v>
      </c>
    </row>
    <row r="193" spans="1:11" ht="20.100000000000001" customHeight="1">
      <c r="A193" t="s">
        <v>13</v>
      </c>
      <c r="B193">
        <v>5000</v>
      </c>
      <c r="C193">
        <v>2</v>
      </c>
      <c r="D193">
        <v>6</v>
      </c>
      <c r="E193" s="2">
        <v>0.58950000000000002</v>
      </c>
      <c r="F193">
        <v>81359</v>
      </c>
      <c r="G193">
        <v>14589</v>
      </c>
      <c r="H193">
        <v>43767</v>
      </c>
      <c r="I193">
        <v>28</v>
      </c>
      <c r="J193">
        <v>12345</v>
      </c>
      <c r="K193" t="s">
        <v>12</v>
      </c>
    </row>
    <row r="194" spans="1:11" ht="20.100000000000001" customHeight="1">
      <c r="A194" t="s">
        <v>11</v>
      </c>
      <c r="B194">
        <v>5000</v>
      </c>
      <c r="C194">
        <v>2</v>
      </c>
      <c r="D194">
        <v>7</v>
      </c>
      <c r="E194" s="2">
        <v>25.310300000000002</v>
      </c>
      <c r="F194">
        <v>6310756</v>
      </c>
      <c r="G194">
        <v>0</v>
      </c>
      <c r="H194">
        <v>6310765</v>
      </c>
      <c r="I194">
        <v>0</v>
      </c>
      <c r="J194">
        <v>12345</v>
      </c>
      <c r="K194" t="s">
        <v>12</v>
      </c>
    </row>
    <row r="195" spans="1:11" ht="20.100000000000001" customHeight="1">
      <c r="A195" t="s">
        <v>13</v>
      </c>
      <c r="B195">
        <v>5000</v>
      </c>
      <c r="C195">
        <v>2</v>
      </c>
      <c r="D195">
        <v>7</v>
      </c>
      <c r="E195" s="2">
        <v>0.60960000000000003</v>
      </c>
      <c r="F195">
        <v>81280</v>
      </c>
      <c r="G195">
        <v>14636</v>
      </c>
      <c r="H195">
        <v>43908</v>
      </c>
      <c r="I195">
        <v>26</v>
      </c>
      <c r="J195">
        <v>12345</v>
      </c>
      <c r="K195" t="s">
        <v>12</v>
      </c>
    </row>
    <row r="196" spans="1:11" ht="20.100000000000001" customHeight="1">
      <c r="A196" t="s">
        <v>11</v>
      </c>
      <c r="B196">
        <v>5000</v>
      </c>
      <c r="C196">
        <v>2</v>
      </c>
      <c r="D196">
        <v>8</v>
      </c>
      <c r="E196" s="2">
        <v>27.164999999999999</v>
      </c>
      <c r="F196">
        <v>6254151</v>
      </c>
      <c r="G196">
        <v>0</v>
      </c>
      <c r="H196">
        <v>6254160</v>
      </c>
      <c r="I196">
        <v>0</v>
      </c>
      <c r="J196">
        <v>12345</v>
      </c>
      <c r="K196" t="s">
        <v>12</v>
      </c>
    </row>
    <row r="197" spans="1:11" ht="20.100000000000001" customHeight="1">
      <c r="A197" t="s">
        <v>13</v>
      </c>
      <c r="B197">
        <v>5000</v>
      </c>
      <c r="C197">
        <v>2</v>
      </c>
      <c r="D197">
        <v>8</v>
      </c>
      <c r="E197" s="2">
        <v>0.61899999999999999</v>
      </c>
      <c r="F197">
        <v>82754</v>
      </c>
      <c r="G197">
        <v>14516</v>
      </c>
      <c r="H197">
        <v>43548</v>
      </c>
      <c r="I197">
        <v>28</v>
      </c>
      <c r="J197">
        <v>12345</v>
      </c>
      <c r="K197" t="s">
        <v>12</v>
      </c>
    </row>
    <row r="198" spans="1:11" ht="20.100000000000001" customHeight="1">
      <c r="A198" t="s">
        <v>11</v>
      </c>
      <c r="B198">
        <v>5000</v>
      </c>
      <c r="C198">
        <v>2</v>
      </c>
      <c r="D198">
        <v>9</v>
      </c>
      <c r="E198" s="2">
        <v>24.947500000000002</v>
      </c>
      <c r="F198">
        <v>6358069</v>
      </c>
      <c r="G198">
        <v>0</v>
      </c>
      <c r="H198">
        <v>6358077</v>
      </c>
      <c r="I198">
        <v>0</v>
      </c>
      <c r="J198">
        <v>12345</v>
      </c>
      <c r="K198" t="s">
        <v>12</v>
      </c>
    </row>
    <row r="199" spans="1:11" ht="20.100000000000001" customHeight="1">
      <c r="A199" t="s">
        <v>13</v>
      </c>
      <c r="B199">
        <v>5000</v>
      </c>
      <c r="C199">
        <v>2</v>
      </c>
      <c r="D199">
        <v>9</v>
      </c>
      <c r="E199" s="2">
        <v>0.58889999999999998</v>
      </c>
      <c r="F199">
        <v>86706</v>
      </c>
      <c r="G199">
        <v>14418</v>
      </c>
      <c r="H199">
        <v>43254</v>
      </c>
      <c r="I199">
        <v>33</v>
      </c>
      <c r="J199">
        <v>12345</v>
      </c>
      <c r="K199" t="s">
        <v>12</v>
      </c>
    </row>
    <row r="200" spans="1:11" ht="20.100000000000001" customHeight="1">
      <c r="A200" t="s">
        <v>11</v>
      </c>
      <c r="B200">
        <v>5000</v>
      </c>
      <c r="C200">
        <v>2</v>
      </c>
      <c r="D200">
        <v>10</v>
      </c>
      <c r="E200" s="2">
        <v>24.599499999999999</v>
      </c>
      <c r="F200">
        <v>6250583</v>
      </c>
      <c r="G200">
        <v>0</v>
      </c>
      <c r="H200">
        <v>6250590</v>
      </c>
      <c r="I200">
        <v>0</v>
      </c>
      <c r="J200">
        <v>12345</v>
      </c>
      <c r="K200" t="s">
        <v>12</v>
      </c>
    </row>
    <row r="201" spans="1:11" ht="20.100000000000001" customHeight="1">
      <c r="A201" t="s">
        <v>13</v>
      </c>
      <c r="B201">
        <v>5000</v>
      </c>
      <c r="C201">
        <v>2</v>
      </c>
      <c r="D201">
        <v>10</v>
      </c>
      <c r="E201" s="2">
        <v>0.58730000000000004</v>
      </c>
      <c r="F201">
        <v>81750</v>
      </c>
      <c r="G201">
        <v>14506</v>
      </c>
      <c r="H201">
        <v>43518</v>
      </c>
      <c r="I201">
        <v>28</v>
      </c>
      <c r="J201">
        <v>12345</v>
      </c>
      <c r="K201" t="s">
        <v>12</v>
      </c>
    </row>
    <row r="202" spans="1:11" ht="20.100000000000001" customHeight="1">
      <c r="A202" t="s">
        <v>11</v>
      </c>
      <c r="B202">
        <v>5000</v>
      </c>
      <c r="C202">
        <v>2</v>
      </c>
      <c r="D202">
        <v>11</v>
      </c>
      <c r="E202" s="2">
        <v>24.292899999999999</v>
      </c>
      <c r="F202">
        <v>6202847</v>
      </c>
      <c r="G202">
        <v>0</v>
      </c>
      <c r="H202">
        <v>6202852</v>
      </c>
      <c r="I202">
        <v>0</v>
      </c>
      <c r="J202">
        <v>12345</v>
      </c>
      <c r="K202" t="s">
        <v>12</v>
      </c>
    </row>
    <row r="203" spans="1:11" ht="20.100000000000001" customHeight="1">
      <c r="A203" t="s">
        <v>13</v>
      </c>
      <c r="B203">
        <v>5000</v>
      </c>
      <c r="C203">
        <v>2</v>
      </c>
      <c r="D203">
        <v>11</v>
      </c>
      <c r="E203" s="2">
        <v>0.5847</v>
      </c>
      <c r="F203">
        <v>88121</v>
      </c>
      <c r="G203">
        <v>14377</v>
      </c>
      <c r="H203">
        <v>43131</v>
      </c>
      <c r="I203">
        <v>28</v>
      </c>
      <c r="J203">
        <v>12345</v>
      </c>
      <c r="K203" t="s">
        <v>12</v>
      </c>
    </row>
    <row r="204" spans="1:11" ht="20.100000000000001" customHeight="1">
      <c r="A204" t="s">
        <v>11</v>
      </c>
      <c r="B204">
        <v>5000</v>
      </c>
      <c r="C204">
        <v>2</v>
      </c>
      <c r="D204">
        <v>12</v>
      </c>
      <c r="E204" s="2">
        <v>25.057500000000001</v>
      </c>
      <c r="F204">
        <v>6395761</v>
      </c>
      <c r="G204">
        <v>0</v>
      </c>
      <c r="H204">
        <v>6395770</v>
      </c>
      <c r="I204">
        <v>0</v>
      </c>
      <c r="J204">
        <v>12345</v>
      </c>
      <c r="K204" t="s">
        <v>12</v>
      </c>
    </row>
    <row r="205" spans="1:11" ht="20.100000000000001" customHeight="1">
      <c r="A205" t="s">
        <v>13</v>
      </c>
      <c r="B205">
        <v>5000</v>
      </c>
      <c r="C205">
        <v>2</v>
      </c>
      <c r="D205">
        <v>12</v>
      </c>
      <c r="E205" s="2">
        <v>0.58989999999999998</v>
      </c>
      <c r="F205">
        <v>85045</v>
      </c>
      <c r="G205">
        <v>14426</v>
      </c>
      <c r="H205">
        <v>43278</v>
      </c>
      <c r="I205">
        <v>27</v>
      </c>
      <c r="J205">
        <v>12345</v>
      </c>
      <c r="K205" t="s">
        <v>12</v>
      </c>
    </row>
    <row r="206" spans="1:11" ht="20.100000000000001" customHeight="1">
      <c r="A206" t="s">
        <v>11</v>
      </c>
      <c r="B206">
        <v>5000</v>
      </c>
      <c r="C206">
        <v>2</v>
      </c>
      <c r="D206">
        <v>13</v>
      </c>
      <c r="E206" s="2">
        <v>24.6374</v>
      </c>
      <c r="F206">
        <v>6291593</v>
      </c>
      <c r="G206">
        <v>0</v>
      </c>
      <c r="H206">
        <v>6291604</v>
      </c>
      <c r="I206">
        <v>0</v>
      </c>
      <c r="J206">
        <v>12345</v>
      </c>
      <c r="K206" t="s">
        <v>12</v>
      </c>
    </row>
    <row r="207" spans="1:11" ht="20.100000000000001" customHeight="1">
      <c r="A207" t="s">
        <v>13</v>
      </c>
      <c r="B207">
        <v>5000</v>
      </c>
      <c r="C207">
        <v>2</v>
      </c>
      <c r="D207">
        <v>13</v>
      </c>
      <c r="E207" s="2">
        <v>0.60119999999999996</v>
      </c>
      <c r="F207">
        <v>83927</v>
      </c>
      <c r="G207">
        <v>14496</v>
      </c>
      <c r="H207">
        <v>43488</v>
      </c>
      <c r="I207">
        <v>27</v>
      </c>
      <c r="J207">
        <v>12345</v>
      </c>
      <c r="K207" t="s">
        <v>12</v>
      </c>
    </row>
    <row r="208" spans="1:11" ht="20.100000000000001" customHeight="1">
      <c r="A208" t="s">
        <v>11</v>
      </c>
      <c r="B208">
        <v>5000</v>
      </c>
      <c r="C208">
        <v>2</v>
      </c>
      <c r="D208">
        <v>14</v>
      </c>
      <c r="E208" s="2">
        <v>24.273499999999999</v>
      </c>
      <c r="F208">
        <v>6226427</v>
      </c>
      <c r="G208">
        <v>0</v>
      </c>
      <c r="H208">
        <v>6226432</v>
      </c>
      <c r="I208">
        <v>0</v>
      </c>
      <c r="J208">
        <v>12345</v>
      </c>
      <c r="K208" t="s">
        <v>12</v>
      </c>
    </row>
    <row r="209" spans="1:11" ht="20.100000000000001" customHeight="1">
      <c r="A209" t="s">
        <v>13</v>
      </c>
      <c r="B209">
        <v>5000</v>
      </c>
      <c r="C209">
        <v>2</v>
      </c>
      <c r="D209">
        <v>14</v>
      </c>
      <c r="E209" s="2">
        <v>0.5877</v>
      </c>
      <c r="F209">
        <v>86501</v>
      </c>
      <c r="G209">
        <v>14335</v>
      </c>
      <c r="H209">
        <v>43005</v>
      </c>
      <c r="I209">
        <v>30</v>
      </c>
      <c r="J209">
        <v>12345</v>
      </c>
      <c r="K209" t="s">
        <v>12</v>
      </c>
    </row>
    <row r="210" spans="1:11" ht="20.100000000000001" customHeight="1">
      <c r="A210" t="s">
        <v>11</v>
      </c>
      <c r="B210">
        <v>5000</v>
      </c>
      <c r="C210">
        <v>2</v>
      </c>
      <c r="D210">
        <v>15</v>
      </c>
      <c r="E210" s="2">
        <v>24.955300000000001</v>
      </c>
      <c r="F210">
        <v>6212880</v>
      </c>
      <c r="G210">
        <v>0</v>
      </c>
      <c r="H210">
        <v>6212889</v>
      </c>
      <c r="I210">
        <v>0</v>
      </c>
      <c r="J210">
        <v>12345</v>
      </c>
      <c r="K210" t="s">
        <v>12</v>
      </c>
    </row>
    <row r="211" spans="1:11" ht="20.100000000000001" customHeight="1">
      <c r="A211" t="s">
        <v>13</v>
      </c>
      <c r="B211">
        <v>5000</v>
      </c>
      <c r="C211">
        <v>2</v>
      </c>
      <c r="D211">
        <v>15</v>
      </c>
      <c r="E211" s="2">
        <v>0.60899999999999999</v>
      </c>
      <c r="F211">
        <v>84743</v>
      </c>
      <c r="G211">
        <v>14425</v>
      </c>
      <c r="H211">
        <v>43275</v>
      </c>
      <c r="I211">
        <v>27</v>
      </c>
      <c r="J211">
        <v>12345</v>
      </c>
      <c r="K211" t="s">
        <v>12</v>
      </c>
    </row>
    <row r="212" spans="1:11" ht="20.100000000000001" customHeight="1">
      <c r="A212" t="s">
        <v>11</v>
      </c>
      <c r="B212">
        <v>5000</v>
      </c>
      <c r="C212">
        <v>2</v>
      </c>
      <c r="D212">
        <v>16</v>
      </c>
      <c r="E212" s="2">
        <v>24.118600000000001</v>
      </c>
      <c r="F212">
        <v>6218172</v>
      </c>
      <c r="G212">
        <v>0</v>
      </c>
      <c r="H212">
        <v>6218179</v>
      </c>
      <c r="I212">
        <v>0</v>
      </c>
      <c r="J212">
        <v>12345</v>
      </c>
      <c r="K212" t="s">
        <v>12</v>
      </c>
    </row>
    <row r="213" spans="1:11" ht="20.100000000000001" customHeight="1">
      <c r="A213" t="s">
        <v>13</v>
      </c>
      <c r="B213">
        <v>5000</v>
      </c>
      <c r="C213">
        <v>2</v>
      </c>
      <c r="D213">
        <v>16</v>
      </c>
      <c r="E213" s="2">
        <v>0.58689999999999998</v>
      </c>
      <c r="F213">
        <v>82746</v>
      </c>
      <c r="G213">
        <v>14511</v>
      </c>
      <c r="H213">
        <v>43533</v>
      </c>
      <c r="I213">
        <v>28</v>
      </c>
      <c r="J213">
        <v>12345</v>
      </c>
      <c r="K213" t="s">
        <v>12</v>
      </c>
    </row>
    <row r="214" spans="1:11" ht="20.100000000000001" customHeight="1">
      <c r="A214" t="s">
        <v>11</v>
      </c>
      <c r="B214">
        <v>5000</v>
      </c>
      <c r="C214">
        <v>2</v>
      </c>
      <c r="D214">
        <v>17</v>
      </c>
      <c r="E214" s="2">
        <v>24.156700000000001</v>
      </c>
      <c r="F214">
        <v>6230419</v>
      </c>
      <c r="G214">
        <v>0</v>
      </c>
      <c r="H214">
        <v>6230428</v>
      </c>
      <c r="I214">
        <v>0</v>
      </c>
      <c r="J214">
        <v>12345</v>
      </c>
      <c r="K214" t="s">
        <v>12</v>
      </c>
    </row>
    <row r="215" spans="1:11" ht="20.100000000000001" customHeight="1">
      <c r="A215" t="s">
        <v>13</v>
      </c>
      <c r="B215">
        <v>5000</v>
      </c>
      <c r="C215">
        <v>2</v>
      </c>
      <c r="D215">
        <v>17</v>
      </c>
      <c r="E215" s="2">
        <v>0.58040000000000003</v>
      </c>
      <c r="F215">
        <v>79090</v>
      </c>
      <c r="G215">
        <v>14721</v>
      </c>
      <c r="H215">
        <v>44163</v>
      </c>
      <c r="I215">
        <v>26</v>
      </c>
      <c r="J215">
        <v>12345</v>
      </c>
      <c r="K215" t="s">
        <v>12</v>
      </c>
    </row>
    <row r="216" spans="1:11" ht="20.100000000000001" customHeight="1">
      <c r="A216" t="s">
        <v>11</v>
      </c>
      <c r="B216">
        <v>5000</v>
      </c>
      <c r="C216">
        <v>2</v>
      </c>
      <c r="D216">
        <v>18</v>
      </c>
      <c r="E216" s="2">
        <v>24.049600000000002</v>
      </c>
      <c r="F216">
        <v>6207105</v>
      </c>
      <c r="G216">
        <v>0</v>
      </c>
      <c r="H216">
        <v>6207112</v>
      </c>
      <c r="I216">
        <v>0</v>
      </c>
      <c r="J216">
        <v>12345</v>
      </c>
      <c r="K216" t="s">
        <v>12</v>
      </c>
    </row>
    <row r="217" spans="1:11" ht="20.100000000000001" customHeight="1">
      <c r="A217" t="s">
        <v>13</v>
      </c>
      <c r="B217">
        <v>5000</v>
      </c>
      <c r="C217">
        <v>2</v>
      </c>
      <c r="D217">
        <v>18</v>
      </c>
      <c r="E217" s="2">
        <v>0.58779999999999999</v>
      </c>
      <c r="F217">
        <v>79507</v>
      </c>
      <c r="G217">
        <v>14729</v>
      </c>
      <c r="H217">
        <v>44187</v>
      </c>
      <c r="I217">
        <v>29</v>
      </c>
      <c r="J217">
        <v>12345</v>
      </c>
      <c r="K217" t="s">
        <v>12</v>
      </c>
    </row>
    <row r="218" spans="1:11" ht="20.100000000000001" customHeight="1">
      <c r="A218" t="s">
        <v>11</v>
      </c>
      <c r="B218">
        <v>5000</v>
      </c>
      <c r="C218">
        <v>2</v>
      </c>
      <c r="D218">
        <v>19</v>
      </c>
      <c r="E218" s="2">
        <v>24.440300000000001</v>
      </c>
      <c r="F218">
        <v>6232808</v>
      </c>
      <c r="G218">
        <v>0</v>
      </c>
      <c r="H218">
        <v>6232814</v>
      </c>
      <c r="I218">
        <v>0</v>
      </c>
      <c r="J218">
        <v>12345</v>
      </c>
      <c r="K218" t="s">
        <v>12</v>
      </c>
    </row>
    <row r="219" spans="1:11" ht="20.100000000000001" customHeight="1">
      <c r="A219" t="s">
        <v>13</v>
      </c>
      <c r="B219">
        <v>5000</v>
      </c>
      <c r="C219">
        <v>2</v>
      </c>
      <c r="D219">
        <v>19</v>
      </c>
      <c r="E219" s="2">
        <v>0.58509999999999995</v>
      </c>
      <c r="F219">
        <v>83061</v>
      </c>
      <c r="G219">
        <v>14564</v>
      </c>
      <c r="H219">
        <v>43692</v>
      </c>
      <c r="I219">
        <v>32</v>
      </c>
      <c r="J219">
        <v>12345</v>
      </c>
      <c r="K219" t="s">
        <v>12</v>
      </c>
    </row>
    <row r="220" spans="1:11" ht="20.100000000000001" customHeight="1">
      <c r="A220" t="s">
        <v>11</v>
      </c>
      <c r="B220">
        <v>5000</v>
      </c>
      <c r="C220">
        <v>2</v>
      </c>
      <c r="D220">
        <v>20</v>
      </c>
      <c r="E220" s="2">
        <v>24.565000000000001</v>
      </c>
      <c r="F220">
        <v>6292269</v>
      </c>
      <c r="G220">
        <v>0</v>
      </c>
      <c r="H220">
        <v>6292273</v>
      </c>
      <c r="I220">
        <v>0</v>
      </c>
      <c r="J220">
        <v>12345</v>
      </c>
      <c r="K220" t="s">
        <v>12</v>
      </c>
    </row>
    <row r="221" spans="1:11" ht="20.100000000000001" customHeight="1">
      <c r="A221" t="s">
        <v>13</v>
      </c>
      <c r="B221">
        <v>5000</v>
      </c>
      <c r="C221">
        <v>2</v>
      </c>
      <c r="D221">
        <v>20</v>
      </c>
      <c r="E221" s="2">
        <v>0.57889999999999997</v>
      </c>
      <c r="F221">
        <v>78614</v>
      </c>
      <c r="G221">
        <v>14618</v>
      </c>
      <c r="H221">
        <v>43854</v>
      </c>
      <c r="I221">
        <v>25</v>
      </c>
      <c r="J221">
        <v>12345</v>
      </c>
      <c r="K221" t="s">
        <v>12</v>
      </c>
    </row>
    <row r="222" spans="1:11" ht="20.100000000000001" customHeight="1">
      <c r="A222" t="s">
        <v>11</v>
      </c>
      <c r="B222">
        <v>5000</v>
      </c>
      <c r="C222">
        <v>2</v>
      </c>
      <c r="D222">
        <v>21</v>
      </c>
      <c r="E222" s="2">
        <v>23.867799999999999</v>
      </c>
      <c r="F222">
        <v>6156563</v>
      </c>
      <c r="G222">
        <v>0</v>
      </c>
      <c r="H222">
        <v>6156565</v>
      </c>
      <c r="I222">
        <v>0</v>
      </c>
      <c r="J222">
        <v>12345</v>
      </c>
      <c r="K222" t="s">
        <v>12</v>
      </c>
    </row>
    <row r="223" spans="1:11" ht="20.100000000000001" customHeight="1">
      <c r="A223" t="s">
        <v>13</v>
      </c>
      <c r="B223">
        <v>5000</v>
      </c>
      <c r="C223">
        <v>2</v>
      </c>
      <c r="D223">
        <v>21</v>
      </c>
      <c r="E223" s="2">
        <v>0.58540000000000003</v>
      </c>
      <c r="F223">
        <v>78018</v>
      </c>
      <c r="G223">
        <v>14795</v>
      </c>
      <c r="H223">
        <v>44385</v>
      </c>
      <c r="I223">
        <v>30</v>
      </c>
      <c r="J223">
        <v>12345</v>
      </c>
      <c r="K223" t="s">
        <v>12</v>
      </c>
    </row>
    <row r="224" spans="1:11" ht="20.100000000000001" customHeight="1">
      <c r="A224" t="s">
        <v>11</v>
      </c>
      <c r="B224">
        <v>5000</v>
      </c>
      <c r="C224">
        <v>2</v>
      </c>
      <c r="D224">
        <v>22</v>
      </c>
      <c r="E224" s="2">
        <v>24.392900000000001</v>
      </c>
      <c r="F224">
        <v>6274137</v>
      </c>
      <c r="G224">
        <v>0</v>
      </c>
      <c r="H224">
        <v>6274147</v>
      </c>
      <c r="I224">
        <v>0</v>
      </c>
      <c r="J224">
        <v>12345</v>
      </c>
      <c r="K224" t="s">
        <v>12</v>
      </c>
    </row>
    <row r="225" spans="1:11" ht="20.100000000000001" customHeight="1">
      <c r="A225" t="s">
        <v>13</v>
      </c>
      <c r="B225">
        <v>5000</v>
      </c>
      <c r="C225">
        <v>2</v>
      </c>
      <c r="D225">
        <v>22</v>
      </c>
      <c r="E225" s="2">
        <v>0.58199999999999996</v>
      </c>
      <c r="F225">
        <v>83750</v>
      </c>
      <c r="G225">
        <v>14557</v>
      </c>
      <c r="H225">
        <v>43671</v>
      </c>
      <c r="I225">
        <v>28</v>
      </c>
      <c r="J225">
        <v>12345</v>
      </c>
      <c r="K225" t="s">
        <v>12</v>
      </c>
    </row>
    <row r="226" spans="1:11" ht="20.100000000000001" customHeight="1">
      <c r="A226" t="s">
        <v>11</v>
      </c>
      <c r="B226">
        <v>5000</v>
      </c>
      <c r="C226">
        <v>2</v>
      </c>
      <c r="D226">
        <v>23</v>
      </c>
      <c r="E226" s="2">
        <v>24.318300000000001</v>
      </c>
      <c r="F226">
        <v>6193990</v>
      </c>
      <c r="G226">
        <v>0</v>
      </c>
      <c r="H226">
        <v>6193997</v>
      </c>
      <c r="I226">
        <v>0</v>
      </c>
      <c r="J226">
        <v>12345</v>
      </c>
      <c r="K226" t="s">
        <v>12</v>
      </c>
    </row>
    <row r="227" spans="1:11" ht="20.100000000000001" customHeight="1">
      <c r="A227" t="s">
        <v>13</v>
      </c>
      <c r="B227">
        <v>5000</v>
      </c>
      <c r="C227">
        <v>2</v>
      </c>
      <c r="D227">
        <v>23</v>
      </c>
      <c r="E227" s="2">
        <v>0.58930000000000005</v>
      </c>
      <c r="F227">
        <v>84104</v>
      </c>
      <c r="G227">
        <v>14554</v>
      </c>
      <c r="H227">
        <v>43662</v>
      </c>
      <c r="I227">
        <v>32</v>
      </c>
      <c r="J227">
        <v>12345</v>
      </c>
      <c r="K227" t="s">
        <v>12</v>
      </c>
    </row>
    <row r="228" spans="1:11" ht="20.100000000000001" customHeight="1">
      <c r="A228" t="s">
        <v>11</v>
      </c>
      <c r="B228">
        <v>5000</v>
      </c>
      <c r="C228">
        <v>2</v>
      </c>
      <c r="D228">
        <v>24</v>
      </c>
      <c r="E228" s="2">
        <v>24.142399999999999</v>
      </c>
      <c r="F228">
        <v>6223996</v>
      </c>
      <c r="G228">
        <v>0</v>
      </c>
      <c r="H228">
        <v>6224006</v>
      </c>
      <c r="I228">
        <v>0</v>
      </c>
      <c r="J228">
        <v>12345</v>
      </c>
      <c r="K228" t="s">
        <v>12</v>
      </c>
    </row>
    <row r="229" spans="1:11" ht="20.100000000000001" customHeight="1">
      <c r="A229" t="s">
        <v>13</v>
      </c>
      <c r="B229">
        <v>5000</v>
      </c>
      <c r="C229">
        <v>2</v>
      </c>
      <c r="D229">
        <v>24</v>
      </c>
      <c r="E229" s="2">
        <v>0.58879999999999999</v>
      </c>
      <c r="F229">
        <v>83734</v>
      </c>
      <c r="G229">
        <v>14697</v>
      </c>
      <c r="H229">
        <v>44091</v>
      </c>
      <c r="I229">
        <v>28</v>
      </c>
      <c r="J229">
        <v>12345</v>
      </c>
      <c r="K229" t="s">
        <v>12</v>
      </c>
    </row>
    <row r="230" spans="1:11" ht="20.100000000000001" customHeight="1">
      <c r="A230" t="s">
        <v>11</v>
      </c>
      <c r="B230">
        <v>5000</v>
      </c>
      <c r="C230">
        <v>2</v>
      </c>
      <c r="D230">
        <v>25</v>
      </c>
      <c r="E230" s="2">
        <v>23.743500000000001</v>
      </c>
      <c r="F230">
        <v>6150416</v>
      </c>
      <c r="G230">
        <v>0</v>
      </c>
      <c r="H230">
        <v>6150430</v>
      </c>
      <c r="I230">
        <v>0</v>
      </c>
      <c r="J230">
        <v>12345</v>
      </c>
      <c r="K230" t="s">
        <v>12</v>
      </c>
    </row>
    <row r="231" spans="1:11" ht="20.100000000000001" customHeight="1">
      <c r="A231" t="s">
        <v>13</v>
      </c>
      <c r="B231">
        <v>5000</v>
      </c>
      <c r="C231">
        <v>2</v>
      </c>
      <c r="D231">
        <v>25</v>
      </c>
      <c r="E231" s="2">
        <v>0.5796</v>
      </c>
      <c r="F231">
        <v>80997</v>
      </c>
      <c r="G231">
        <v>14621</v>
      </c>
      <c r="H231">
        <v>43863</v>
      </c>
      <c r="I231">
        <v>25</v>
      </c>
      <c r="J231">
        <v>12345</v>
      </c>
      <c r="K231" t="s">
        <v>12</v>
      </c>
    </row>
    <row r="232" spans="1:11" ht="20.100000000000001" customHeight="1">
      <c r="A232" t="s">
        <v>11</v>
      </c>
      <c r="B232">
        <v>5000</v>
      </c>
      <c r="C232">
        <v>2</v>
      </c>
      <c r="D232">
        <v>26</v>
      </c>
      <c r="E232" s="2">
        <v>23.289300000000001</v>
      </c>
      <c r="F232">
        <v>6190053</v>
      </c>
      <c r="G232">
        <v>0</v>
      </c>
      <c r="H232">
        <v>6190064</v>
      </c>
      <c r="I232">
        <v>0</v>
      </c>
      <c r="J232">
        <v>12345</v>
      </c>
      <c r="K232" t="s">
        <v>12</v>
      </c>
    </row>
    <row r="233" spans="1:11" ht="20.100000000000001" customHeight="1">
      <c r="A233" t="s">
        <v>13</v>
      </c>
      <c r="B233">
        <v>5000</v>
      </c>
      <c r="C233">
        <v>2</v>
      </c>
      <c r="D233">
        <v>26</v>
      </c>
      <c r="E233" s="2">
        <v>0.55349999999999999</v>
      </c>
      <c r="F233">
        <v>81489</v>
      </c>
      <c r="G233">
        <v>14629</v>
      </c>
      <c r="H233">
        <v>43887</v>
      </c>
      <c r="I233">
        <v>28</v>
      </c>
      <c r="J233">
        <v>12345</v>
      </c>
      <c r="K233" t="s">
        <v>12</v>
      </c>
    </row>
    <row r="234" spans="1:11" ht="20.100000000000001" customHeight="1">
      <c r="A234" t="s">
        <v>11</v>
      </c>
      <c r="B234">
        <v>5000</v>
      </c>
      <c r="C234">
        <v>2</v>
      </c>
      <c r="D234">
        <v>27</v>
      </c>
      <c r="E234" s="2">
        <v>22.543099999999999</v>
      </c>
      <c r="F234">
        <v>6233761</v>
      </c>
      <c r="G234">
        <v>0</v>
      </c>
      <c r="H234">
        <v>6233763</v>
      </c>
      <c r="I234">
        <v>0</v>
      </c>
      <c r="J234">
        <v>12345</v>
      </c>
      <c r="K234" t="s">
        <v>12</v>
      </c>
    </row>
    <row r="235" spans="1:11" ht="20.100000000000001" customHeight="1">
      <c r="A235" t="s">
        <v>13</v>
      </c>
      <c r="B235">
        <v>5000</v>
      </c>
      <c r="C235">
        <v>2</v>
      </c>
      <c r="D235">
        <v>27</v>
      </c>
      <c r="E235" s="2">
        <v>0.53410000000000002</v>
      </c>
      <c r="F235">
        <v>81778</v>
      </c>
      <c r="G235">
        <v>14688</v>
      </c>
      <c r="H235">
        <v>44064</v>
      </c>
      <c r="I235">
        <v>26</v>
      </c>
      <c r="J235">
        <v>12345</v>
      </c>
      <c r="K235" t="s">
        <v>12</v>
      </c>
    </row>
    <row r="236" spans="1:11" ht="20.100000000000001" customHeight="1">
      <c r="A236" t="s">
        <v>11</v>
      </c>
      <c r="B236">
        <v>5000</v>
      </c>
      <c r="C236">
        <v>2</v>
      </c>
      <c r="D236">
        <v>28</v>
      </c>
      <c r="E236" s="2">
        <v>22.055700000000002</v>
      </c>
      <c r="F236">
        <v>6318563</v>
      </c>
      <c r="G236">
        <v>0</v>
      </c>
      <c r="H236">
        <v>6318575</v>
      </c>
      <c r="I236">
        <v>0</v>
      </c>
      <c r="J236">
        <v>12345</v>
      </c>
      <c r="K236" t="s">
        <v>12</v>
      </c>
    </row>
    <row r="237" spans="1:11" ht="20.100000000000001" customHeight="1">
      <c r="A237" t="s">
        <v>13</v>
      </c>
      <c r="B237">
        <v>5000</v>
      </c>
      <c r="C237">
        <v>2</v>
      </c>
      <c r="D237">
        <v>28</v>
      </c>
      <c r="E237" s="2">
        <v>0.51060000000000005</v>
      </c>
      <c r="F237">
        <v>80242</v>
      </c>
      <c r="G237">
        <v>14636</v>
      </c>
      <c r="H237">
        <v>43908</v>
      </c>
      <c r="I237">
        <v>27</v>
      </c>
      <c r="J237">
        <v>12345</v>
      </c>
      <c r="K237" t="s">
        <v>12</v>
      </c>
    </row>
    <row r="238" spans="1:11" ht="20.100000000000001" customHeight="1">
      <c r="A238" t="s">
        <v>11</v>
      </c>
      <c r="B238">
        <v>5000</v>
      </c>
      <c r="C238">
        <v>2</v>
      </c>
      <c r="D238">
        <v>29</v>
      </c>
      <c r="E238" s="2">
        <v>21.1739</v>
      </c>
      <c r="F238">
        <v>6328113</v>
      </c>
      <c r="G238">
        <v>0</v>
      </c>
      <c r="H238">
        <v>6328118</v>
      </c>
      <c r="I238">
        <v>0</v>
      </c>
      <c r="J238">
        <v>12345</v>
      </c>
      <c r="K238" t="s">
        <v>12</v>
      </c>
    </row>
    <row r="239" spans="1:11" ht="20.100000000000001" customHeight="1">
      <c r="A239" t="s">
        <v>13</v>
      </c>
      <c r="B239">
        <v>5000</v>
      </c>
      <c r="C239">
        <v>2</v>
      </c>
      <c r="D239">
        <v>29</v>
      </c>
      <c r="E239" s="2">
        <v>0.49380000000000002</v>
      </c>
      <c r="F239">
        <v>85491</v>
      </c>
      <c r="G239">
        <v>14432</v>
      </c>
      <c r="H239">
        <v>43296</v>
      </c>
      <c r="I239">
        <v>28</v>
      </c>
      <c r="J239">
        <v>12345</v>
      </c>
      <c r="K239" t="s">
        <v>12</v>
      </c>
    </row>
    <row r="240" spans="1:11" ht="20.100000000000001" customHeight="1">
      <c r="A240" t="s">
        <v>11</v>
      </c>
      <c r="B240">
        <v>5000</v>
      </c>
      <c r="C240">
        <v>2</v>
      </c>
      <c r="D240">
        <v>30</v>
      </c>
      <c r="E240" s="2">
        <v>20.440899999999999</v>
      </c>
      <c r="F240">
        <v>6288205</v>
      </c>
      <c r="G240">
        <v>0</v>
      </c>
      <c r="H240">
        <v>6288214</v>
      </c>
      <c r="I240">
        <v>0</v>
      </c>
      <c r="J240">
        <v>12345</v>
      </c>
      <c r="K240" t="s">
        <v>12</v>
      </c>
    </row>
    <row r="241" spans="1:11" ht="20.100000000000001" customHeight="1">
      <c r="A241" t="s">
        <v>13</v>
      </c>
      <c r="B241">
        <v>5000</v>
      </c>
      <c r="C241">
        <v>2</v>
      </c>
      <c r="D241">
        <v>30</v>
      </c>
      <c r="E241" s="2">
        <v>0.48080000000000001</v>
      </c>
      <c r="F241">
        <v>85115</v>
      </c>
      <c r="G241">
        <v>14495</v>
      </c>
      <c r="H241">
        <v>43485</v>
      </c>
      <c r="I241">
        <v>27</v>
      </c>
      <c r="J241">
        <v>12345</v>
      </c>
      <c r="K241" t="s">
        <v>12</v>
      </c>
    </row>
    <row r="242" spans="1:11" ht="20.100000000000001" customHeight="1">
      <c r="A242" t="s">
        <v>11</v>
      </c>
      <c r="B242">
        <v>5000</v>
      </c>
      <c r="C242">
        <v>3</v>
      </c>
      <c r="D242">
        <v>1</v>
      </c>
      <c r="E242" s="2">
        <v>2.7199999999999998E-2</v>
      </c>
      <c r="F242">
        <v>4999</v>
      </c>
      <c r="G242">
        <v>0</v>
      </c>
      <c r="H242">
        <v>4999</v>
      </c>
      <c r="I242">
        <v>0</v>
      </c>
      <c r="J242">
        <v>12345</v>
      </c>
      <c r="K242" t="s">
        <v>12</v>
      </c>
    </row>
    <row r="243" spans="1:11" ht="20.100000000000001" customHeight="1">
      <c r="A243" t="s">
        <v>13</v>
      </c>
      <c r="B243">
        <v>5000</v>
      </c>
      <c r="C243">
        <v>3</v>
      </c>
      <c r="D243">
        <v>1</v>
      </c>
      <c r="E243" s="2">
        <v>0.13059999999999999</v>
      </c>
      <c r="F243">
        <v>57726</v>
      </c>
      <c r="G243">
        <v>0</v>
      </c>
      <c r="H243">
        <v>0</v>
      </c>
      <c r="I243">
        <v>12</v>
      </c>
      <c r="J243">
        <v>12345</v>
      </c>
      <c r="K243" t="s">
        <v>12</v>
      </c>
    </row>
    <row r="244" spans="1:11" ht="20.100000000000001" customHeight="1">
      <c r="A244" t="s">
        <v>11</v>
      </c>
      <c r="B244">
        <v>5000</v>
      </c>
      <c r="C244">
        <v>3</v>
      </c>
      <c r="D244">
        <v>2</v>
      </c>
      <c r="E244" s="2">
        <v>2.69E-2</v>
      </c>
      <c r="F244">
        <v>4999</v>
      </c>
      <c r="G244">
        <v>0</v>
      </c>
      <c r="H244">
        <v>4999</v>
      </c>
      <c r="I244">
        <v>0</v>
      </c>
      <c r="J244">
        <v>12345</v>
      </c>
      <c r="K244" t="s">
        <v>12</v>
      </c>
    </row>
    <row r="245" spans="1:11" ht="20.100000000000001" customHeight="1">
      <c r="A245" t="s">
        <v>13</v>
      </c>
      <c r="B245">
        <v>5000</v>
      </c>
      <c r="C245">
        <v>3</v>
      </c>
      <c r="D245">
        <v>2</v>
      </c>
      <c r="E245" s="2">
        <v>0.129</v>
      </c>
      <c r="F245">
        <v>57726</v>
      </c>
      <c r="G245">
        <v>0</v>
      </c>
      <c r="H245">
        <v>0</v>
      </c>
      <c r="I245">
        <v>12</v>
      </c>
      <c r="J245">
        <v>12345</v>
      </c>
      <c r="K245" t="s">
        <v>12</v>
      </c>
    </row>
    <row r="246" spans="1:11" ht="20.100000000000001" customHeight="1">
      <c r="A246" t="s">
        <v>11</v>
      </c>
      <c r="B246">
        <v>5000</v>
      </c>
      <c r="C246">
        <v>3</v>
      </c>
      <c r="D246">
        <v>3</v>
      </c>
      <c r="E246" s="2">
        <v>2.7699999999999999E-2</v>
      </c>
      <c r="F246">
        <v>4999</v>
      </c>
      <c r="G246">
        <v>0</v>
      </c>
      <c r="H246">
        <v>4999</v>
      </c>
      <c r="I246">
        <v>0</v>
      </c>
      <c r="J246">
        <v>12345</v>
      </c>
      <c r="K246" t="s">
        <v>12</v>
      </c>
    </row>
    <row r="247" spans="1:11" ht="20.100000000000001" customHeight="1">
      <c r="A247" t="s">
        <v>13</v>
      </c>
      <c r="B247">
        <v>5000</v>
      </c>
      <c r="C247">
        <v>3</v>
      </c>
      <c r="D247">
        <v>3</v>
      </c>
      <c r="E247" s="2">
        <v>0.129</v>
      </c>
      <c r="F247">
        <v>57726</v>
      </c>
      <c r="G247">
        <v>0</v>
      </c>
      <c r="H247">
        <v>0</v>
      </c>
      <c r="I247">
        <v>12</v>
      </c>
      <c r="J247">
        <v>12345</v>
      </c>
      <c r="K247" t="s">
        <v>12</v>
      </c>
    </row>
    <row r="248" spans="1:11" ht="20.100000000000001" customHeight="1">
      <c r="A248" t="s">
        <v>11</v>
      </c>
      <c r="B248">
        <v>5000</v>
      </c>
      <c r="C248">
        <v>3</v>
      </c>
      <c r="D248">
        <v>4</v>
      </c>
      <c r="E248" s="2">
        <v>2.7099999999999999E-2</v>
      </c>
      <c r="F248">
        <v>4999</v>
      </c>
      <c r="G248">
        <v>0</v>
      </c>
      <c r="H248">
        <v>4999</v>
      </c>
      <c r="I248">
        <v>0</v>
      </c>
      <c r="J248">
        <v>12345</v>
      </c>
      <c r="K248" t="s">
        <v>12</v>
      </c>
    </row>
    <row r="249" spans="1:11" ht="20.100000000000001" customHeight="1">
      <c r="A249" t="s">
        <v>13</v>
      </c>
      <c r="B249">
        <v>5000</v>
      </c>
      <c r="C249">
        <v>3</v>
      </c>
      <c r="D249">
        <v>4</v>
      </c>
      <c r="E249" s="2">
        <v>0.12909999999999999</v>
      </c>
      <c r="F249">
        <v>57726</v>
      </c>
      <c r="G249">
        <v>0</v>
      </c>
      <c r="H249">
        <v>0</v>
      </c>
      <c r="I249">
        <v>12</v>
      </c>
      <c r="J249">
        <v>12345</v>
      </c>
      <c r="K249" t="s">
        <v>12</v>
      </c>
    </row>
    <row r="250" spans="1:11" ht="20.100000000000001" customHeight="1">
      <c r="A250" t="s">
        <v>11</v>
      </c>
      <c r="B250">
        <v>5000</v>
      </c>
      <c r="C250">
        <v>3</v>
      </c>
      <c r="D250">
        <v>5</v>
      </c>
      <c r="E250" s="2">
        <v>2.75E-2</v>
      </c>
      <c r="F250">
        <v>4999</v>
      </c>
      <c r="G250">
        <v>0</v>
      </c>
      <c r="H250">
        <v>4999</v>
      </c>
      <c r="I250">
        <v>0</v>
      </c>
      <c r="J250">
        <v>12345</v>
      </c>
      <c r="K250" t="s">
        <v>12</v>
      </c>
    </row>
    <row r="251" spans="1:11" ht="20.100000000000001" customHeight="1">
      <c r="A251" t="s">
        <v>13</v>
      </c>
      <c r="B251">
        <v>5000</v>
      </c>
      <c r="C251">
        <v>3</v>
      </c>
      <c r="D251">
        <v>5</v>
      </c>
      <c r="E251" s="2">
        <v>0.12889999999999999</v>
      </c>
      <c r="F251">
        <v>57726</v>
      </c>
      <c r="G251">
        <v>0</v>
      </c>
      <c r="H251">
        <v>0</v>
      </c>
      <c r="I251">
        <v>12</v>
      </c>
      <c r="J251">
        <v>12345</v>
      </c>
      <c r="K251" t="s">
        <v>12</v>
      </c>
    </row>
    <row r="252" spans="1:11" ht="20.100000000000001" customHeight="1">
      <c r="A252" t="s">
        <v>11</v>
      </c>
      <c r="B252">
        <v>5000</v>
      </c>
      <c r="C252">
        <v>3</v>
      </c>
      <c r="D252">
        <v>6</v>
      </c>
      <c r="E252" s="2">
        <v>2.7099999999999999E-2</v>
      </c>
      <c r="F252">
        <v>4999</v>
      </c>
      <c r="G252">
        <v>0</v>
      </c>
      <c r="H252">
        <v>4999</v>
      </c>
      <c r="I252">
        <v>0</v>
      </c>
      <c r="J252">
        <v>12345</v>
      </c>
      <c r="K252" t="s">
        <v>12</v>
      </c>
    </row>
    <row r="253" spans="1:11" ht="20.100000000000001" customHeight="1">
      <c r="A253" t="s">
        <v>13</v>
      </c>
      <c r="B253">
        <v>5000</v>
      </c>
      <c r="C253">
        <v>3</v>
      </c>
      <c r="D253">
        <v>6</v>
      </c>
      <c r="E253" s="2">
        <v>0.1288</v>
      </c>
      <c r="F253">
        <v>57726</v>
      </c>
      <c r="G253">
        <v>0</v>
      </c>
      <c r="H253">
        <v>0</v>
      </c>
      <c r="I253">
        <v>12</v>
      </c>
      <c r="J253">
        <v>12345</v>
      </c>
      <c r="K253" t="s">
        <v>12</v>
      </c>
    </row>
    <row r="254" spans="1:11" ht="20.100000000000001" customHeight="1">
      <c r="A254" t="s">
        <v>11</v>
      </c>
      <c r="B254">
        <v>5000</v>
      </c>
      <c r="C254">
        <v>3</v>
      </c>
      <c r="D254">
        <v>7</v>
      </c>
      <c r="E254" s="2">
        <v>2.6700000000000002E-2</v>
      </c>
      <c r="F254">
        <v>4999</v>
      </c>
      <c r="G254">
        <v>0</v>
      </c>
      <c r="H254">
        <v>4999</v>
      </c>
      <c r="I254">
        <v>0</v>
      </c>
      <c r="J254">
        <v>12345</v>
      </c>
      <c r="K254" t="s">
        <v>12</v>
      </c>
    </row>
    <row r="255" spans="1:11" ht="20.100000000000001" customHeight="1">
      <c r="A255" t="s">
        <v>13</v>
      </c>
      <c r="B255">
        <v>5000</v>
      </c>
      <c r="C255">
        <v>3</v>
      </c>
      <c r="D255">
        <v>7</v>
      </c>
      <c r="E255" s="2">
        <v>0.12870000000000001</v>
      </c>
      <c r="F255">
        <v>57726</v>
      </c>
      <c r="G255">
        <v>0</v>
      </c>
      <c r="H255">
        <v>0</v>
      </c>
      <c r="I255">
        <v>12</v>
      </c>
      <c r="J255">
        <v>12345</v>
      </c>
      <c r="K255" t="s">
        <v>12</v>
      </c>
    </row>
    <row r="256" spans="1:11" ht="20.100000000000001" customHeight="1">
      <c r="A256" t="s">
        <v>11</v>
      </c>
      <c r="B256">
        <v>5000</v>
      </c>
      <c r="C256">
        <v>3</v>
      </c>
      <c r="D256">
        <v>8</v>
      </c>
      <c r="E256" s="2">
        <v>2.64E-2</v>
      </c>
      <c r="F256">
        <v>4999</v>
      </c>
      <c r="G256">
        <v>0</v>
      </c>
      <c r="H256">
        <v>4999</v>
      </c>
      <c r="I256">
        <v>0</v>
      </c>
      <c r="J256">
        <v>12345</v>
      </c>
      <c r="K256" t="s">
        <v>12</v>
      </c>
    </row>
    <row r="257" spans="1:11" ht="20.100000000000001" customHeight="1">
      <c r="A257" t="s">
        <v>13</v>
      </c>
      <c r="B257">
        <v>5000</v>
      </c>
      <c r="C257">
        <v>3</v>
      </c>
      <c r="D257">
        <v>8</v>
      </c>
      <c r="E257" s="2">
        <v>0.13009999999999999</v>
      </c>
      <c r="F257">
        <v>57726</v>
      </c>
      <c r="G257">
        <v>0</v>
      </c>
      <c r="H257">
        <v>0</v>
      </c>
      <c r="I257">
        <v>12</v>
      </c>
      <c r="J257">
        <v>12345</v>
      </c>
      <c r="K257" t="s">
        <v>12</v>
      </c>
    </row>
    <row r="258" spans="1:11" ht="20.100000000000001" customHeight="1">
      <c r="A258" t="s">
        <v>11</v>
      </c>
      <c r="B258">
        <v>5000</v>
      </c>
      <c r="C258">
        <v>3</v>
      </c>
      <c r="D258">
        <v>9</v>
      </c>
      <c r="E258" s="2">
        <v>2.7E-2</v>
      </c>
      <c r="F258">
        <v>4999</v>
      </c>
      <c r="G258">
        <v>0</v>
      </c>
      <c r="H258">
        <v>4999</v>
      </c>
      <c r="I258">
        <v>0</v>
      </c>
      <c r="J258">
        <v>12345</v>
      </c>
      <c r="K258" t="s">
        <v>12</v>
      </c>
    </row>
    <row r="259" spans="1:11" ht="20.100000000000001" customHeight="1">
      <c r="A259" t="s">
        <v>13</v>
      </c>
      <c r="B259">
        <v>5000</v>
      </c>
      <c r="C259">
        <v>3</v>
      </c>
      <c r="D259">
        <v>9</v>
      </c>
      <c r="E259" s="2">
        <v>0.12889999999999999</v>
      </c>
      <c r="F259">
        <v>57726</v>
      </c>
      <c r="G259">
        <v>0</v>
      </c>
      <c r="H259">
        <v>0</v>
      </c>
      <c r="I259">
        <v>12</v>
      </c>
      <c r="J259">
        <v>12345</v>
      </c>
      <c r="K259" t="s">
        <v>12</v>
      </c>
    </row>
    <row r="260" spans="1:11" ht="20.100000000000001" customHeight="1">
      <c r="A260" t="s">
        <v>11</v>
      </c>
      <c r="B260">
        <v>5000</v>
      </c>
      <c r="C260">
        <v>3</v>
      </c>
      <c r="D260">
        <v>10</v>
      </c>
      <c r="E260" s="2">
        <v>2.6800000000000001E-2</v>
      </c>
      <c r="F260">
        <v>4999</v>
      </c>
      <c r="G260">
        <v>0</v>
      </c>
      <c r="H260">
        <v>4999</v>
      </c>
      <c r="I260">
        <v>0</v>
      </c>
      <c r="J260">
        <v>12345</v>
      </c>
      <c r="K260" t="s">
        <v>12</v>
      </c>
    </row>
    <row r="261" spans="1:11" ht="20.100000000000001" customHeight="1">
      <c r="A261" t="s">
        <v>13</v>
      </c>
      <c r="B261">
        <v>5000</v>
      </c>
      <c r="C261">
        <v>3</v>
      </c>
      <c r="D261">
        <v>10</v>
      </c>
      <c r="E261" s="2">
        <v>0.12889999999999999</v>
      </c>
      <c r="F261">
        <v>57726</v>
      </c>
      <c r="G261">
        <v>0</v>
      </c>
      <c r="H261">
        <v>0</v>
      </c>
      <c r="I261">
        <v>12</v>
      </c>
      <c r="J261">
        <v>12345</v>
      </c>
      <c r="K261" t="s">
        <v>12</v>
      </c>
    </row>
    <row r="262" spans="1:11" ht="20.100000000000001" customHeight="1">
      <c r="A262" t="s">
        <v>11</v>
      </c>
      <c r="B262">
        <v>5000</v>
      </c>
      <c r="C262">
        <v>3</v>
      </c>
      <c r="D262">
        <v>11</v>
      </c>
      <c r="E262" s="2">
        <v>2.76E-2</v>
      </c>
      <c r="F262">
        <v>4999</v>
      </c>
      <c r="G262">
        <v>0</v>
      </c>
      <c r="H262">
        <v>4999</v>
      </c>
      <c r="I262">
        <v>0</v>
      </c>
      <c r="J262">
        <v>12345</v>
      </c>
      <c r="K262" t="s">
        <v>12</v>
      </c>
    </row>
    <row r="263" spans="1:11" ht="20.100000000000001" customHeight="1">
      <c r="A263" t="s">
        <v>13</v>
      </c>
      <c r="B263">
        <v>5000</v>
      </c>
      <c r="C263">
        <v>3</v>
      </c>
      <c r="D263">
        <v>11</v>
      </c>
      <c r="E263" s="2">
        <v>0.12889999999999999</v>
      </c>
      <c r="F263">
        <v>57726</v>
      </c>
      <c r="G263">
        <v>0</v>
      </c>
      <c r="H263">
        <v>0</v>
      </c>
      <c r="I263">
        <v>12</v>
      </c>
      <c r="J263">
        <v>12345</v>
      </c>
      <c r="K263" t="s">
        <v>12</v>
      </c>
    </row>
    <row r="264" spans="1:11" ht="20.100000000000001" customHeight="1">
      <c r="A264" t="s">
        <v>11</v>
      </c>
      <c r="B264">
        <v>5000</v>
      </c>
      <c r="C264">
        <v>3</v>
      </c>
      <c r="D264">
        <v>12</v>
      </c>
      <c r="E264" s="2">
        <v>2.76E-2</v>
      </c>
      <c r="F264">
        <v>4999</v>
      </c>
      <c r="G264">
        <v>0</v>
      </c>
      <c r="H264">
        <v>4999</v>
      </c>
      <c r="I264">
        <v>0</v>
      </c>
      <c r="J264">
        <v>12345</v>
      </c>
      <c r="K264" t="s">
        <v>12</v>
      </c>
    </row>
    <row r="265" spans="1:11" ht="20.100000000000001" customHeight="1">
      <c r="A265" t="s">
        <v>13</v>
      </c>
      <c r="B265">
        <v>5000</v>
      </c>
      <c r="C265">
        <v>3</v>
      </c>
      <c r="D265">
        <v>12</v>
      </c>
      <c r="E265" s="2">
        <v>0.12870000000000001</v>
      </c>
      <c r="F265">
        <v>57726</v>
      </c>
      <c r="G265">
        <v>0</v>
      </c>
      <c r="H265">
        <v>0</v>
      </c>
      <c r="I265">
        <v>12</v>
      </c>
      <c r="J265">
        <v>12345</v>
      </c>
      <c r="K265" t="s">
        <v>12</v>
      </c>
    </row>
    <row r="266" spans="1:11" ht="20.100000000000001" customHeight="1">
      <c r="A266" t="s">
        <v>11</v>
      </c>
      <c r="B266">
        <v>5000</v>
      </c>
      <c r="C266">
        <v>3</v>
      </c>
      <c r="D266">
        <v>13</v>
      </c>
      <c r="E266" s="2">
        <v>2.6499999999999999E-2</v>
      </c>
      <c r="F266">
        <v>4999</v>
      </c>
      <c r="G266">
        <v>0</v>
      </c>
      <c r="H266">
        <v>4999</v>
      </c>
      <c r="I266">
        <v>0</v>
      </c>
      <c r="J266">
        <v>12345</v>
      </c>
      <c r="K266" t="s">
        <v>12</v>
      </c>
    </row>
    <row r="267" spans="1:11" ht="20.100000000000001" customHeight="1">
      <c r="A267" t="s">
        <v>13</v>
      </c>
      <c r="B267">
        <v>5000</v>
      </c>
      <c r="C267">
        <v>3</v>
      </c>
      <c r="D267">
        <v>13</v>
      </c>
      <c r="E267" s="2">
        <v>0.13719999999999999</v>
      </c>
      <c r="F267">
        <v>57726</v>
      </c>
      <c r="G267">
        <v>0</v>
      </c>
      <c r="H267">
        <v>0</v>
      </c>
      <c r="I267">
        <v>12</v>
      </c>
      <c r="J267">
        <v>12345</v>
      </c>
      <c r="K267" t="s">
        <v>12</v>
      </c>
    </row>
    <row r="268" spans="1:11" ht="20.100000000000001" customHeight="1">
      <c r="A268" t="s">
        <v>11</v>
      </c>
      <c r="B268">
        <v>5000</v>
      </c>
      <c r="C268">
        <v>3</v>
      </c>
      <c r="D268">
        <v>14</v>
      </c>
      <c r="E268" s="2">
        <v>2.7E-2</v>
      </c>
      <c r="F268">
        <v>4999</v>
      </c>
      <c r="G268">
        <v>0</v>
      </c>
      <c r="H268">
        <v>4999</v>
      </c>
      <c r="I268">
        <v>0</v>
      </c>
      <c r="J268">
        <v>12345</v>
      </c>
      <c r="K268" t="s">
        <v>12</v>
      </c>
    </row>
    <row r="269" spans="1:11" ht="20.100000000000001" customHeight="1">
      <c r="A269" t="s">
        <v>13</v>
      </c>
      <c r="B269">
        <v>5000</v>
      </c>
      <c r="C269">
        <v>3</v>
      </c>
      <c r="D269">
        <v>14</v>
      </c>
      <c r="E269" s="2">
        <v>0.128</v>
      </c>
      <c r="F269">
        <v>57726</v>
      </c>
      <c r="G269">
        <v>0</v>
      </c>
      <c r="H269">
        <v>0</v>
      </c>
      <c r="I269">
        <v>12</v>
      </c>
      <c r="J269">
        <v>12345</v>
      </c>
      <c r="K269" t="s">
        <v>12</v>
      </c>
    </row>
    <row r="270" spans="1:11" ht="20.100000000000001" customHeight="1">
      <c r="A270" t="s">
        <v>11</v>
      </c>
      <c r="B270">
        <v>5000</v>
      </c>
      <c r="C270">
        <v>3</v>
      </c>
      <c r="D270">
        <v>15</v>
      </c>
      <c r="E270" s="2">
        <v>2.5899999999999999E-2</v>
      </c>
      <c r="F270">
        <v>4999</v>
      </c>
      <c r="G270">
        <v>0</v>
      </c>
      <c r="H270">
        <v>4999</v>
      </c>
      <c r="I270">
        <v>0</v>
      </c>
      <c r="J270">
        <v>12345</v>
      </c>
      <c r="K270" t="s">
        <v>12</v>
      </c>
    </row>
    <row r="271" spans="1:11" ht="20.100000000000001" customHeight="1">
      <c r="A271" t="s">
        <v>13</v>
      </c>
      <c r="B271">
        <v>5000</v>
      </c>
      <c r="C271">
        <v>3</v>
      </c>
      <c r="D271">
        <v>15</v>
      </c>
      <c r="E271" s="2">
        <v>0.128</v>
      </c>
      <c r="F271">
        <v>57726</v>
      </c>
      <c r="G271">
        <v>0</v>
      </c>
      <c r="H271">
        <v>0</v>
      </c>
      <c r="I271">
        <v>12</v>
      </c>
      <c r="J271">
        <v>12345</v>
      </c>
      <c r="K271" t="s">
        <v>12</v>
      </c>
    </row>
    <row r="272" spans="1:11" ht="20.100000000000001" customHeight="1">
      <c r="A272" t="s">
        <v>11</v>
      </c>
      <c r="B272">
        <v>5000</v>
      </c>
      <c r="C272">
        <v>3</v>
      </c>
      <c r="D272">
        <v>16</v>
      </c>
      <c r="E272" s="2">
        <v>2.7300000000000001E-2</v>
      </c>
      <c r="F272">
        <v>4999</v>
      </c>
      <c r="G272">
        <v>0</v>
      </c>
      <c r="H272">
        <v>4999</v>
      </c>
      <c r="I272">
        <v>0</v>
      </c>
      <c r="J272">
        <v>12345</v>
      </c>
      <c r="K272" t="s">
        <v>12</v>
      </c>
    </row>
    <row r="273" spans="1:11" ht="20.100000000000001" customHeight="1">
      <c r="A273" t="s">
        <v>13</v>
      </c>
      <c r="B273">
        <v>5000</v>
      </c>
      <c r="C273">
        <v>3</v>
      </c>
      <c r="D273">
        <v>16</v>
      </c>
      <c r="E273" s="2">
        <v>0.12820000000000001</v>
      </c>
      <c r="F273">
        <v>57726</v>
      </c>
      <c r="G273">
        <v>0</v>
      </c>
      <c r="H273">
        <v>0</v>
      </c>
      <c r="I273">
        <v>12</v>
      </c>
      <c r="J273">
        <v>12345</v>
      </c>
      <c r="K273" t="s">
        <v>12</v>
      </c>
    </row>
    <row r="274" spans="1:11" ht="20.100000000000001" customHeight="1">
      <c r="A274" t="s">
        <v>11</v>
      </c>
      <c r="B274">
        <v>5000</v>
      </c>
      <c r="C274">
        <v>3</v>
      </c>
      <c r="D274">
        <v>17</v>
      </c>
      <c r="E274" s="2">
        <v>2.7199999999999998E-2</v>
      </c>
      <c r="F274">
        <v>4999</v>
      </c>
      <c r="G274">
        <v>0</v>
      </c>
      <c r="H274">
        <v>4999</v>
      </c>
      <c r="I274">
        <v>0</v>
      </c>
      <c r="J274">
        <v>12345</v>
      </c>
      <c r="K274" t="s">
        <v>12</v>
      </c>
    </row>
    <row r="275" spans="1:11" ht="20.100000000000001" customHeight="1">
      <c r="A275" t="s">
        <v>13</v>
      </c>
      <c r="B275">
        <v>5000</v>
      </c>
      <c r="C275">
        <v>3</v>
      </c>
      <c r="D275">
        <v>17</v>
      </c>
      <c r="E275" s="2">
        <v>0.128</v>
      </c>
      <c r="F275">
        <v>57726</v>
      </c>
      <c r="G275">
        <v>0</v>
      </c>
      <c r="H275">
        <v>0</v>
      </c>
      <c r="I275">
        <v>12</v>
      </c>
      <c r="J275">
        <v>12345</v>
      </c>
      <c r="K275" t="s">
        <v>12</v>
      </c>
    </row>
    <row r="276" spans="1:11" ht="20.100000000000001" customHeight="1">
      <c r="A276" t="s">
        <v>11</v>
      </c>
      <c r="B276">
        <v>5000</v>
      </c>
      <c r="C276">
        <v>3</v>
      </c>
      <c r="D276">
        <v>18</v>
      </c>
      <c r="E276" s="2">
        <v>2.7E-2</v>
      </c>
      <c r="F276">
        <v>4999</v>
      </c>
      <c r="G276">
        <v>0</v>
      </c>
      <c r="H276">
        <v>4999</v>
      </c>
      <c r="I276">
        <v>0</v>
      </c>
      <c r="J276">
        <v>12345</v>
      </c>
      <c r="K276" t="s">
        <v>12</v>
      </c>
    </row>
    <row r="277" spans="1:11" ht="20.100000000000001" customHeight="1">
      <c r="A277" t="s">
        <v>13</v>
      </c>
      <c r="B277">
        <v>5000</v>
      </c>
      <c r="C277">
        <v>3</v>
      </c>
      <c r="D277">
        <v>18</v>
      </c>
      <c r="E277" s="2">
        <v>0.1278</v>
      </c>
      <c r="F277">
        <v>57726</v>
      </c>
      <c r="G277">
        <v>0</v>
      </c>
      <c r="H277">
        <v>0</v>
      </c>
      <c r="I277">
        <v>12</v>
      </c>
      <c r="J277">
        <v>12345</v>
      </c>
      <c r="K277" t="s">
        <v>12</v>
      </c>
    </row>
    <row r="278" spans="1:11" ht="20.100000000000001" customHeight="1">
      <c r="A278" t="s">
        <v>11</v>
      </c>
      <c r="B278">
        <v>5000</v>
      </c>
      <c r="C278">
        <v>3</v>
      </c>
      <c r="D278">
        <v>19</v>
      </c>
      <c r="E278" s="2">
        <v>2.69E-2</v>
      </c>
      <c r="F278">
        <v>4999</v>
      </c>
      <c r="G278">
        <v>0</v>
      </c>
      <c r="H278">
        <v>4999</v>
      </c>
      <c r="I278">
        <v>0</v>
      </c>
      <c r="J278">
        <v>12345</v>
      </c>
      <c r="K278" t="s">
        <v>12</v>
      </c>
    </row>
    <row r="279" spans="1:11" ht="20.100000000000001" customHeight="1">
      <c r="A279" t="s">
        <v>13</v>
      </c>
      <c r="B279">
        <v>5000</v>
      </c>
      <c r="C279">
        <v>3</v>
      </c>
      <c r="D279">
        <v>19</v>
      </c>
      <c r="E279" s="2">
        <v>0.13009999999999999</v>
      </c>
      <c r="F279">
        <v>57726</v>
      </c>
      <c r="G279">
        <v>0</v>
      </c>
      <c r="H279">
        <v>0</v>
      </c>
      <c r="I279">
        <v>12</v>
      </c>
      <c r="J279">
        <v>12345</v>
      </c>
      <c r="K279" t="s">
        <v>12</v>
      </c>
    </row>
    <row r="280" spans="1:11" ht="20.100000000000001" customHeight="1">
      <c r="A280" t="s">
        <v>11</v>
      </c>
      <c r="B280">
        <v>5000</v>
      </c>
      <c r="C280">
        <v>3</v>
      </c>
      <c r="D280">
        <v>20</v>
      </c>
      <c r="E280" s="2">
        <v>2.7199999999999998E-2</v>
      </c>
      <c r="F280">
        <v>4999</v>
      </c>
      <c r="G280">
        <v>0</v>
      </c>
      <c r="H280">
        <v>4999</v>
      </c>
      <c r="I280">
        <v>0</v>
      </c>
      <c r="J280">
        <v>12345</v>
      </c>
      <c r="K280" t="s">
        <v>12</v>
      </c>
    </row>
    <row r="281" spans="1:11" ht="20.100000000000001" customHeight="1">
      <c r="A281" t="s">
        <v>13</v>
      </c>
      <c r="B281">
        <v>5000</v>
      </c>
      <c r="C281">
        <v>3</v>
      </c>
      <c r="D281">
        <v>20</v>
      </c>
      <c r="E281" s="2">
        <v>0.128</v>
      </c>
      <c r="F281">
        <v>57726</v>
      </c>
      <c r="G281">
        <v>0</v>
      </c>
      <c r="H281">
        <v>0</v>
      </c>
      <c r="I281">
        <v>12</v>
      </c>
      <c r="J281">
        <v>12345</v>
      </c>
      <c r="K281" t="s">
        <v>12</v>
      </c>
    </row>
    <row r="282" spans="1:11" ht="20.100000000000001" customHeight="1">
      <c r="A282" t="s">
        <v>11</v>
      </c>
      <c r="B282">
        <v>5000</v>
      </c>
      <c r="C282">
        <v>3</v>
      </c>
      <c r="D282">
        <v>21</v>
      </c>
      <c r="E282" s="2">
        <v>2.6599999999999999E-2</v>
      </c>
      <c r="F282">
        <v>4999</v>
      </c>
      <c r="G282">
        <v>0</v>
      </c>
      <c r="H282">
        <v>4999</v>
      </c>
      <c r="I282">
        <v>0</v>
      </c>
      <c r="J282">
        <v>12345</v>
      </c>
      <c r="K282" t="s">
        <v>12</v>
      </c>
    </row>
    <row r="283" spans="1:11" ht="20.100000000000001" customHeight="1">
      <c r="A283" t="s">
        <v>13</v>
      </c>
      <c r="B283">
        <v>5000</v>
      </c>
      <c r="C283">
        <v>3</v>
      </c>
      <c r="D283">
        <v>21</v>
      </c>
      <c r="E283" s="2">
        <v>0.12809999999999999</v>
      </c>
      <c r="F283">
        <v>57726</v>
      </c>
      <c r="G283">
        <v>0</v>
      </c>
      <c r="H283">
        <v>0</v>
      </c>
      <c r="I283">
        <v>12</v>
      </c>
      <c r="J283">
        <v>12345</v>
      </c>
      <c r="K283" t="s">
        <v>12</v>
      </c>
    </row>
    <row r="284" spans="1:11" ht="20.100000000000001" customHeight="1">
      <c r="A284" t="s">
        <v>11</v>
      </c>
      <c r="B284">
        <v>5000</v>
      </c>
      <c r="C284">
        <v>3</v>
      </c>
      <c r="D284">
        <v>22</v>
      </c>
      <c r="E284" s="2">
        <v>2.6800000000000001E-2</v>
      </c>
      <c r="F284">
        <v>4999</v>
      </c>
      <c r="G284">
        <v>0</v>
      </c>
      <c r="H284">
        <v>4999</v>
      </c>
      <c r="I284">
        <v>0</v>
      </c>
      <c r="J284">
        <v>12345</v>
      </c>
      <c r="K284" t="s">
        <v>12</v>
      </c>
    </row>
    <row r="285" spans="1:11" ht="20.100000000000001" customHeight="1">
      <c r="A285" t="s">
        <v>13</v>
      </c>
      <c r="B285">
        <v>5000</v>
      </c>
      <c r="C285">
        <v>3</v>
      </c>
      <c r="D285">
        <v>22</v>
      </c>
      <c r="E285" s="2">
        <v>0.12820000000000001</v>
      </c>
      <c r="F285">
        <v>57726</v>
      </c>
      <c r="G285">
        <v>0</v>
      </c>
      <c r="H285">
        <v>0</v>
      </c>
      <c r="I285">
        <v>12</v>
      </c>
      <c r="J285">
        <v>12345</v>
      </c>
      <c r="K285" t="s">
        <v>12</v>
      </c>
    </row>
    <row r="286" spans="1:11" ht="20.100000000000001" customHeight="1">
      <c r="A286" t="s">
        <v>11</v>
      </c>
      <c r="B286">
        <v>5000</v>
      </c>
      <c r="C286">
        <v>3</v>
      </c>
      <c r="D286">
        <v>23</v>
      </c>
      <c r="E286" s="2">
        <v>2.7199999999999998E-2</v>
      </c>
      <c r="F286">
        <v>4999</v>
      </c>
      <c r="G286">
        <v>0</v>
      </c>
      <c r="H286">
        <v>4999</v>
      </c>
      <c r="I286">
        <v>0</v>
      </c>
      <c r="J286">
        <v>12345</v>
      </c>
      <c r="K286" t="s">
        <v>12</v>
      </c>
    </row>
    <row r="287" spans="1:11" ht="20.100000000000001" customHeight="1">
      <c r="A287" t="s">
        <v>13</v>
      </c>
      <c r="B287">
        <v>5000</v>
      </c>
      <c r="C287">
        <v>3</v>
      </c>
      <c r="D287">
        <v>23</v>
      </c>
      <c r="E287" s="2">
        <v>0.128</v>
      </c>
      <c r="F287">
        <v>57726</v>
      </c>
      <c r="G287">
        <v>0</v>
      </c>
      <c r="H287">
        <v>0</v>
      </c>
      <c r="I287">
        <v>12</v>
      </c>
      <c r="J287">
        <v>12345</v>
      </c>
      <c r="K287" t="s">
        <v>12</v>
      </c>
    </row>
    <row r="288" spans="1:11" ht="20.100000000000001" customHeight="1">
      <c r="A288" t="s">
        <v>11</v>
      </c>
      <c r="B288">
        <v>5000</v>
      </c>
      <c r="C288">
        <v>3</v>
      </c>
      <c r="D288">
        <v>24</v>
      </c>
      <c r="E288" s="2">
        <v>2.7300000000000001E-2</v>
      </c>
      <c r="F288">
        <v>4999</v>
      </c>
      <c r="G288">
        <v>0</v>
      </c>
      <c r="H288">
        <v>4999</v>
      </c>
      <c r="I288">
        <v>0</v>
      </c>
      <c r="J288">
        <v>12345</v>
      </c>
      <c r="K288" t="s">
        <v>12</v>
      </c>
    </row>
    <row r="289" spans="1:11" ht="20.100000000000001" customHeight="1">
      <c r="A289" t="s">
        <v>13</v>
      </c>
      <c r="B289">
        <v>5000</v>
      </c>
      <c r="C289">
        <v>3</v>
      </c>
      <c r="D289">
        <v>24</v>
      </c>
      <c r="E289" s="2">
        <v>0.12809999999999999</v>
      </c>
      <c r="F289">
        <v>57726</v>
      </c>
      <c r="G289">
        <v>0</v>
      </c>
      <c r="H289">
        <v>0</v>
      </c>
      <c r="I289">
        <v>12</v>
      </c>
      <c r="J289">
        <v>12345</v>
      </c>
      <c r="K289" t="s">
        <v>12</v>
      </c>
    </row>
    <row r="290" spans="1:11" ht="20.100000000000001" customHeight="1">
      <c r="A290" t="s">
        <v>11</v>
      </c>
      <c r="B290">
        <v>5000</v>
      </c>
      <c r="C290">
        <v>3</v>
      </c>
      <c r="D290">
        <v>25</v>
      </c>
      <c r="E290" s="2">
        <v>2.7E-2</v>
      </c>
      <c r="F290">
        <v>4999</v>
      </c>
      <c r="G290">
        <v>0</v>
      </c>
      <c r="H290">
        <v>4999</v>
      </c>
      <c r="I290">
        <v>0</v>
      </c>
      <c r="J290">
        <v>12345</v>
      </c>
      <c r="K290" t="s">
        <v>12</v>
      </c>
    </row>
    <row r="291" spans="1:11" ht="20.100000000000001" customHeight="1">
      <c r="A291" t="s">
        <v>13</v>
      </c>
      <c r="B291">
        <v>5000</v>
      </c>
      <c r="C291">
        <v>3</v>
      </c>
      <c r="D291">
        <v>25</v>
      </c>
      <c r="E291" s="2">
        <v>0.12809999999999999</v>
      </c>
      <c r="F291">
        <v>57726</v>
      </c>
      <c r="G291">
        <v>0</v>
      </c>
      <c r="H291">
        <v>0</v>
      </c>
      <c r="I291">
        <v>12</v>
      </c>
      <c r="J291">
        <v>12345</v>
      </c>
      <c r="K291" t="s">
        <v>12</v>
      </c>
    </row>
    <row r="292" spans="1:11" ht="20.100000000000001" customHeight="1">
      <c r="A292" t="s">
        <v>11</v>
      </c>
      <c r="B292">
        <v>5000</v>
      </c>
      <c r="C292">
        <v>3</v>
      </c>
      <c r="D292">
        <v>26</v>
      </c>
      <c r="E292" s="2">
        <v>2.7199999999999998E-2</v>
      </c>
      <c r="F292">
        <v>4999</v>
      </c>
      <c r="G292">
        <v>0</v>
      </c>
      <c r="H292">
        <v>4999</v>
      </c>
      <c r="I292">
        <v>0</v>
      </c>
      <c r="J292">
        <v>12345</v>
      </c>
      <c r="K292" t="s">
        <v>12</v>
      </c>
    </row>
    <row r="293" spans="1:11" ht="20.100000000000001" customHeight="1">
      <c r="A293" t="s">
        <v>13</v>
      </c>
      <c r="B293">
        <v>5000</v>
      </c>
      <c r="C293">
        <v>3</v>
      </c>
      <c r="D293">
        <v>26</v>
      </c>
      <c r="E293" s="2">
        <v>0.12790000000000001</v>
      </c>
      <c r="F293">
        <v>57726</v>
      </c>
      <c r="G293">
        <v>0</v>
      </c>
      <c r="H293">
        <v>0</v>
      </c>
      <c r="I293">
        <v>12</v>
      </c>
      <c r="J293">
        <v>12345</v>
      </c>
      <c r="K293" t="s">
        <v>12</v>
      </c>
    </row>
    <row r="294" spans="1:11" ht="20.100000000000001" customHeight="1">
      <c r="A294" t="s">
        <v>11</v>
      </c>
      <c r="B294">
        <v>5000</v>
      </c>
      <c r="C294">
        <v>3</v>
      </c>
      <c r="D294">
        <v>27</v>
      </c>
      <c r="E294" s="2">
        <v>2.7E-2</v>
      </c>
      <c r="F294">
        <v>4999</v>
      </c>
      <c r="G294">
        <v>0</v>
      </c>
      <c r="H294">
        <v>4999</v>
      </c>
      <c r="I294">
        <v>0</v>
      </c>
      <c r="J294">
        <v>12345</v>
      </c>
      <c r="K294" t="s">
        <v>12</v>
      </c>
    </row>
    <row r="295" spans="1:11" ht="20.100000000000001" customHeight="1">
      <c r="A295" t="s">
        <v>13</v>
      </c>
      <c r="B295">
        <v>5000</v>
      </c>
      <c r="C295">
        <v>3</v>
      </c>
      <c r="D295">
        <v>27</v>
      </c>
      <c r="E295" s="2">
        <v>0.12820000000000001</v>
      </c>
      <c r="F295">
        <v>57726</v>
      </c>
      <c r="G295">
        <v>0</v>
      </c>
      <c r="H295">
        <v>0</v>
      </c>
      <c r="I295">
        <v>12</v>
      </c>
      <c r="J295">
        <v>12345</v>
      </c>
      <c r="K295" t="s">
        <v>12</v>
      </c>
    </row>
    <row r="296" spans="1:11" ht="20.100000000000001" customHeight="1">
      <c r="A296" t="s">
        <v>11</v>
      </c>
      <c r="B296">
        <v>5000</v>
      </c>
      <c r="C296">
        <v>3</v>
      </c>
      <c r="D296">
        <v>28</v>
      </c>
      <c r="E296" s="2">
        <v>2.6599999999999999E-2</v>
      </c>
      <c r="F296">
        <v>4999</v>
      </c>
      <c r="G296">
        <v>0</v>
      </c>
      <c r="H296">
        <v>4999</v>
      </c>
      <c r="I296">
        <v>0</v>
      </c>
      <c r="J296">
        <v>12345</v>
      </c>
      <c r="K296" t="s">
        <v>12</v>
      </c>
    </row>
    <row r="297" spans="1:11" ht="20.100000000000001" customHeight="1">
      <c r="A297" t="s">
        <v>13</v>
      </c>
      <c r="B297">
        <v>5000</v>
      </c>
      <c r="C297">
        <v>3</v>
      </c>
      <c r="D297">
        <v>28</v>
      </c>
      <c r="E297" s="2">
        <v>0.13669999999999999</v>
      </c>
      <c r="F297">
        <v>57726</v>
      </c>
      <c r="G297">
        <v>0</v>
      </c>
      <c r="H297">
        <v>0</v>
      </c>
      <c r="I297">
        <v>12</v>
      </c>
      <c r="J297">
        <v>12345</v>
      </c>
      <c r="K297" t="s">
        <v>12</v>
      </c>
    </row>
    <row r="298" spans="1:11" ht="20.100000000000001" customHeight="1">
      <c r="A298" t="s">
        <v>11</v>
      </c>
      <c r="B298">
        <v>5000</v>
      </c>
      <c r="C298">
        <v>3</v>
      </c>
      <c r="D298">
        <v>29</v>
      </c>
      <c r="E298" s="2">
        <v>2.7300000000000001E-2</v>
      </c>
      <c r="F298">
        <v>4999</v>
      </c>
      <c r="G298">
        <v>0</v>
      </c>
      <c r="H298">
        <v>4999</v>
      </c>
      <c r="I298">
        <v>0</v>
      </c>
      <c r="J298">
        <v>12345</v>
      </c>
      <c r="K298" t="s">
        <v>12</v>
      </c>
    </row>
    <row r="299" spans="1:11" ht="20.100000000000001" customHeight="1">
      <c r="A299" t="s">
        <v>13</v>
      </c>
      <c r="B299">
        <v>5000</v>
      </c>
      <c r="C299">
        <v>3</v>
      </c>
      <c r="D299">
        <v>29</v>
      </c>
      <c r="E299" s="2">
        <v>0.13009999999999999</v>
      </c>
      <c r="F299">
        <v>57726</v>
      </c>
      <c r="G299">
        <v>0</v>
      </c>
      <c r="H299">
        <v>0</v>
      </c>
      <c r="I299">
        <v>12</v>
      </c>
      <c r="J299">
        <v>12345</v>
      </c>
      <c r="K299" t="s">
        <v>12</v>
      </c>
    </row>
    <row r="300" spans="1:11" ht="20.100000000000001" customHeight="1">
      <c r="A300" t="s">
        <v>11</v>
      </c>
      <c r="B300">
        <v>5000</v>
      </c>
      <c r="C300">
        <v>3</v>
      </c>
      <c r="D300">
        <v>30</v>
      </c>
      <c r="E300" s="2">
        <v>2.58E-2</v>
      </c>
      <c r="F300">
        <v>4999</v>
      </c>
      <c r="G300">
        <v>0</v>
      </c>
      <c r="H300">
        <v>4999</v>
      </c>
      <c r="I300">
        <v>0</v>
      </c>
      <c r="J300">
        <v>12345</v>
      </c>
      <c r="K300" t="s">
        <v>12</v>
      </c>
    </row>
    <row r="301" spans="1:11" ht="20.100000000000001" customHeight="1">
      <c r="A301" t="s">
        <v>13</v>
      </c>
      <c r="B301">
        <v>5000</v>
      </c>
      <c r="C301">
        <v>3</v>
      </c>
      <c r="D301">
        <v>30</v>
      </c>
      <c r="E301" s="2">
        <v>0.12720000000000001</v>
      </c>
      <c r="F301">
        <v>57726</v>
      </c>
      <c r="G301">
        <v>0</v>
      </c>
      <c r="H301">
        <v>0</v>
      </c>
      <c r="I301">
        <v>12</v>
      </c>
      <c r="J301">
        <v>12345</v>
      </c>
      <c r="K301" t="s">
        <v>12</v>
      </c>
    </row>
    <row r="302" spans="1:11" ht="20.100000000000001" customHeight="1">
      <c r="A302" t="s">
        <v>11</v>
      </c>
      <c r="B302">
        <v>5000</v>
      </c>
      <c r="C302">
        <v>4</v>
      </c>
      <c r="D302">
        <v>1</v>
      </c>
      <c r="E302" s="2">
        <v>39.576900000000002</v>
      </c>
      <c r="F302">
        <v>12497500</v>
      </c>
      <c r="G302">
        <v>0</v>
      </c>
      <c r="H302">
        <v>12502499</v>
      </c>
      <c r="I302">
        <v>0</v>
      </c>
      <c r="J302">
        <v>12345</v>
      </c>
      <c r="K302" t="s">
        <v>12</v>
      </c>
    </row>
    <row r="303" spans="1:11" ht="20.100000000000001" customHeight="1">
      <c r="A303" t="s">
        <v>13</v>
      </c>
      <c r="B303">
        <v>5000</v>
      </c>
      <c r="C303">
        <v>4</v>
      </c>
      <c r="D303">
        <v>1</v>
      </c>
      <c r="E303" s="2">
        <v>0.13059999999999999</v>
      </c>
      <c r="F303">
        <v>57738</v>
      </c>
      <c r="G303">
        <v>2500</v>
      </c>
      <c r="H303">
        <v>7500</v>
      </c>
      <c r="I303">
        <v>12</v>
      </c>
      <c r="J303">
        <v>12345</v>
      </c>
      <c r="K303" t="s">
        <v>12</v>
      </c>
    </row>
    <row r="304" spans="1:11" ht="20.100000000000001" customHeight="1">
      <c r="A304" t="s">
        <v>11</v>
      </c>
      <c r="B304">
        <v>5000</v>
      </c>
      <c r="C304">
        <v>4</v>
      </c>
      <c r="D304">
        <v>2</v>
      </c>
      <c r="E304" s="2">
        <v>37.833300000000001</v>
      </c>
      <c r="F304">
        <v>12497500</v>
      </c>
      <c r="G304">
        <v>0</v>
      </c>
      <c r="H304">
        <v>12502499</v>
      </c>
      <c r="I304">
        <v>0</v>
      </c>
      <c r="J304">
        <v>12345</v>
      </c>
      <c r="K304" t="s">
        <v>12</v>
      </c>
    </row>
    <row r="305" spans="1:11" ht="20.100000000000001" customHeight="1">
      <c r="A305" t="s">
        <v>13</v>
      </c>
      <c r="B305">
        <v>5000</v>
      </c>
      <c r="C305">
        <v>4</v>
      </c>
      <c r="D305">
        <v>2</v>
      </c>
      <c r="E305" s="2">
        <v>0.13009999999999999</v>
      </c>
      <c r="F305">
        <v>57738</v>
      </c>
      <c r="G305">
        <v>2500</v>
      </c>
      <c r="H305">
        <v>7500</v>
      </c>
      <c r="I305">
        <v>12</v>
      </c>
      <c r="J305">
        <v>12345</v>
      </c>
      <c r="K305" t="s">
        <v>12</v>
      </c>
    </row>
    <row r="306" spans="1:11" ht="20.100000000000001" customHeight="1">
      <c r="A306" t="s">
        <v>11</v>
      </c>
      <c r="B306">
        <v>5000</v>
      </c>
      <c r="C306">
        <v>4</v>
      </c>
      <c r="D306">
        <v>3</v>
      </c>
      <c r="E306" s="2">
        <v>38.089300000000001</v>
      </c>
      <c r="F306">
        <v>12497500</v>
      </c>
      <c r="G306">
        <v>0</v>
      </c>
      <c r="H306">
        <v>12502499</v>
      </c>
      <c r="I306">
        <v>0</v>
      </c>
      <c r="J306">
        <v>12345</v>
      </c>
      <c r="K306" t="s">
        <v>12</v>
      </c>
    </row>
    <row r="307" spans="1:11" ht="20.100000000000001" customHeight="1">
      <c r="A307" t="s">
        <v>13</v>
      </c>
      <c r="B307">
        <v>5000</v>
      </c>
      <c r="C307">
        <v>4</v>
      </c>
      <c r="D307">
        <v>3</v>
      </c>
      <c r="E307" s="2">
        <v>0.13020000000000001</v>
      </c>
      <c r="F307">
        <v>57738</v>
      </c>
      <c r="G307">
        <v>2500</v>
      </c>
      <c r="H307">
        <v>7500</v>
      </c>
      <c r="I307">
        <v>12</v>
      </c>
      <c r="J307">
        <v>12345</v>
      </c>
      <c r="K307" t="s">
        <v>12</v>
      </c>
    </row>
    <row r="308" spans="1:11" ht="20.100000000000001" customHeight="1">
      <c r="A308" t="s">
        <v>11</v>
      </c>
      <c r="B308">
        <v>5000</v>
      </c>
      <c r="C308">
        <v>4</v>
      </c>
      <c r="D308">
        <v>4</v>
      </c>
      <c r="E308" s="2">
        <v>37.803600000000003</v>
      </c>
      <c r="F308">
        <v>12497500</v>
      </c>
      <c r="G308">
        <v>0</v>
      </c>
      <c r="H308">
        <v>12502499</v>
      </c>
      <c r="I308">
        <v>0</v>
      </c>
      <c r="J308">
        <v>12345</v>
      </c>
      <c r="K308" t="s">
        <v>12</v>
      </c>
    </row>
    <row r="309" spans="1:11" ht="20.100000000000001" customHeight="1">
      <c r="A309" t="s">
        <v>13</v>
      </c>
      <c r="B309">
        <v>5000</v>
      </c>
      <c r="C309">
        <v>4</v>
      </c>
      <c r="D309">
        <v>4</v>
      </c>
      <c r="E309" s="2">
        <v>0.1303</v>
      </c>
      <c r="F309">
        <v>57738</v>
      </c>
      <c r="G309">
        <v>2500</v>
      </c>
      <c r="H309">
        <v>7500</v>
      </c>
      <c r="I309">
        <v>12</v>
      </c>
      <c r="J309">
        <v>12345</v>
      </c>
      <c r="K309" t="s">
        <v>12</v>
      </c>
    </row>
    <row r="310" spans="1:11" ht="20.100000000000001" customHeight="1">
      <c r="A310" t="s">
        <v>11</v>
      </c>
      <c r="B310">
        <v>5000</v>
      </c>
      <c r="C310">
        <v>4</v>
      </c>
      <c r="D310">
        <v>5</v>
      </c>
      <c r="E310" s="2">
        <v>37.830500000000001</v>
      </c>
      <c r="F310">
        <v>12497500</v>
      </c>
      <c r="G310">
        <v>0</v>
      </c>
      <c r="H310">
        <v>12502499</v>
      </c>
      <c r="I310">
        <v>0</v>
      </c>
      <c r="J310">
        <v>12345</v>
      </c>
      <c r="K310" t="s">
        <v>12</v>
      </c>
    </row>
    <row r="311" spans="1:11" ht="20.100000000000001" customHeight="1">
      <c r="A311" t="s">
        <v>13</v>
      </c>
      <c r="B311">
        <v>5000</v>
      </c>
      <c r="C311">
        <v>4</v>
      </c>
      <c r="D311">
        <v>5</v>
      </c>
      <c r="E311" s="2">
        <v>0.13</v>
      </c>
      <c r="F311">
        <v>57738</v>
      </c>
      <c r="G311">
        <v>2500</v>
      </c>
      <c r="H311">
        <v>7500</v>
      </c>
      <c r="I311">
        <v>12</v>
      </c>
      <c r="J311">
        <v>12345</v>
      </c>
      <c r="K311" t="s">
        <v>12</v>
      </c>
    </row>
    <row r="312" spans="1:11" ht="20.100000000000001" customHeight="1">
      <c r="A312" t="s">
        <v>11</v>
      </c>
      <c r="B312">
        <v>5000</v>
      </c>
      <c r="C312">
        <v>4</v>
      </c>
      <c r="D312">
        <v>6</v>
      </c>
      <c r="E312" s="2">
        <v>37.8553</v>
      </c>
      <c r="F312">
        <v>12497500</v>
      </c>
      <c r="G312">
        <v>0</v>
      </c>
      <c r="H312">
        <v>12502499</v>
      </c>
      <c r="I312">
        <v>0</v>
      </c>
      <c r="J312">
        <v>12345</v>
      </c>
      <c r="K312" t="s">
        <v>12</v>
      </c>
    </row>
    <row r="313" spans="1:11" ht="20.100000000000001" customHeight="1">
      <c r="A313" t="s">
        <v>13</v>
      </c>
      <c r="B313">
        <v>5000</v>
      </c>
      <c r="C313">
        <v>4</v>
      </c>
      <c r="D313">
        <v>6</v>
      </c>
      <c r="E313" s="2">
        <v>0.1305</v>
      </c>
      <c r="F313">
        <v>57738</v>
      </c>
      <c r="G313">
        <v>2500</v>
      </c>
      <c r="H313">
        <v>7500</v>
      </c>
      <c r="I313">
        <v>12</v>
      </c>
      <c r="J313">
        <v>12345</v>
      </c>
      <c r="K313" t="s">
        <v>12</v>
      </c>
    </row>
    <row r="314" spans="1:11" ht="20.100000000000001" customHeight="1">
      <c r="A314" t="s">
        <v>11</v>
      </c>
      <c r="B314">
        <v>5000</v>
      </c>
      <c r="C314">
        <v>4</v>
      </c>
      <c r="D314">
        <v>7</v>
      </c>
      <c r="E314" s="2">
        <v>37.780900000000003</v>
      </c>
      <c r="F314">
        <v>12497500</v>
      </c>
      <c r="G314">
        <v>0</v>
      </c>
      <c r="H314">
        <v>12502499</v>
      </c>
      <c r="I314">
        <v>0</v>
      </c>
      <c r="J314">
        <v>12345</v>
      </c>
      <c r="K314" t="s">
        <v>12</v>
      </c>
    </row>
    <row r="315" spans="1:11" ht="20.100000000000001" customHeight="1">
      <c r="A315" t="s">
        <v>13</v>
      </c>
      <c r="B315">
        <v>5000</v>
      </c>
      <c r="C315">
        <v>4</v>
      </c>
      <c r="D315">
        <v>7</v>
      </c>
      <c r="E315" s="2">
        <v>0.1298</v>
      </c>
      <c r="F315">
        <v>57738</v>
      </c>
      <c r="G315">
        <v>2500</v>
      </c>
      <c r="H315">
        <v>7500</v>
      </c>
      <c r="I315">
        <v>12</v>
      </c>
      <c r="J315">
        <v>12345</v>
      </c>
      <c r="K315" t="s">
        <v>12</v>
      </c>
    </row>
    <row r="316" spans="1:11" ht="20.100000000000001" customHeight="1">
      <c r="A316" t="s">
        <v>11</v>
      </c>
      <c r="B316">
        <v>5000</v>
      </c>
      <c r="C316">
        <v>4</v>
      </c>
      <c r="D316">
        <v>8</v>
      </c>
      <c r="E316" s="2">
        <v>37.961300000000001</v>
      </c>
      <c r="F316">
        <v>12497500</v>
      </c>
      <c r="G316">
        <v>0</v>
      </c>
      <c r="H316">
        <v>12502499</v>
      </c>
      <c r="I316">
        <v>0</v>
      </c>
      <c r="J316">
        <v>12345</v>
      </c>
      <c r="K316" t="s">
        <v>12</v>
      </c>
    </row>
    <row r="317" spans="1:11" ht="20.100000000000001" customHeight="1">
      <c r="A317" t="s">
        <v>13</v>
      </c>
      <c r="B317">
        <v>5000</v>
      </c>
      <c r="C317">
        <v>4</v>
      </c>
      <c r="D317">
        <v>8</v>
      </c>
      <c r="E317" s="2">
        <v>0.13070000000000001</v>
      </c>
      <c r="F317">
        <v>57738</v>
      </c>
      <c r="G317">
        <v>2500</v>
      </c>
      <c r="H317">
        <v>7500</v>
      </c>
      <c r="I317">
        <v>12</v>
      </c>
      <c r="J317">
        <v>12345</v>
      </c>
      <c r="K317" t="s">
        <v>12</v>
      </c>
    </row>
    <row r="318" spans="1:11" ht="20.100000000000001" customHeight="1">
      <c r="A318" t="s">
        <v>11</v>
      </c>
      <c r="B318">
        <v>5000</v>
      </c>
      <c r="C318">
        <v>4</v>
      </c>
      <c r="D318">
        <v>9</v>
      </c>
      <c r="E318" s="2">
        <v>38.212800000000001</v>
      </c>
      <c r="F318">
        <v>12497500</v>
      </c>
      <c r="G318">
        <v>0</v>
      </c>
      <c r="H318">
        <v>12502499</v>
      </c>
      <c r="I318">
        <v>0</v>
      </c>
      <c r="J318">
        <v>12345</v>
      </c>
      <c r="K318" t="s">
        <v>12</v>
      </c>
    </row>
    <row r="319" spans="1:11" ht="20.100000000000001" customHeight="1">
      <c r="A319" t="s">
        <v>13</v>
      </c>
      <c r="B319">
        <v>5000</v>
      </c>
      <c r="C319">
        <v>4</v>
      </c>
      <c r="D319">
        <v>9</v>
      </c>
      <c r="E319" s="2">
        <v>0.13120000000000001</v>
      </c>
      <c r="F319">
        <v>57738</v>
      </c>
      <c r="G319">
        <v>2500</v>
      </c>
      <c r="H319">
        <v>7500</v>
      </c>
      <c r="I319">
        <v>12</v>
      </c>
      <c r="J319">
        <v>12345</v>
      </c>
      <c r="K319" t="s">
        <v>12</v>
      </c>
    </row>
    <row r="320" spans="1:11" ht="20.100000000000001" customHeight="1">
      <c r="A320" t="s">
        <v>11</v>
      </c>
      <c r="B320">
        <v>5000</v>
      </c>
      <c r="C320">
        <v>4</v>
      </c>
      <c r="D320">
        <v>10</v>
      </c>
      <c r="E320" s="2">
        <v>38.048299999999998</v>
      </c>
      <c r="F320">
        <v>12497500</v>
      </c>
      <c r="G320">
        <v>0</v>
      </c>
      <c r="H320">
        <v>12502499</v>
      </c>
      <c r="I320">
        <v>0</v>
      </c>
      <c r="J320">
        <v>12345</v>
      </c>
      <c r="K320" t="s">
        <v>12</v>
      </c>
    </row>
    <row r="321" spans="1:11" ht="20.100000000000001" customHeight="1">
      <c r="A321" t="s">
        <v>13</v>
      </c>
      <c r="B321">
        <v>5000</v>
      </c>
      <c r="C321">
        <v>4</v>
      </c>
      <c r="D321">
        <v>10</v>
      </c>
      <c r="E321" s="2">
        <v>0.13159999999999999</v>
      </c>
      <c r="F321">
        <v>57738</v>
      </c>
      <c r="G321">
        <v>2500</v>
      </c>
      <c r="H321">
        <v>7500</v>
      </c>
      <c r="I321">
        <v>12</v>
      </c>
      <c r="J321">
        <v>12345</v>
      </c>
      <c r="K321" t="s">
        <v>12</v>
      </c>
    </row>
    <row r="322" spans="1:11" ht="20.100000000000001" customHeight="1">
      <c r="A322" t="s">
        <v>11</v>
      </c>
      <c r="B322">
        <v>5000</v>
      </c>
      <c r="C322">
        <v>4</v>
      </c>
      <c r="D322">
        <v>11</v>
      </c>
      <c r="E322" s="2">
        <v>38.278599999999997</v>
      </c>
      <c r="F322">
        <v>12497500</v>
      </c>
      <c r="G322">
        <v>0</v>
      </c>
      <c r="H322">
        <v>12502499</v>
      </c>
      <c r="I322">
        <v>0</v>
      </c>
      <c r="J322">
        <v>12345</v>
      </c>
      <c r="K322" t="s">
        <v>12</v>
      </c>
    </row>
    <row r="323" spans="1:11" ht="20.100000000000001" customHeight="1">
      <c r="A323" t="s">
        <v>13</v>
      </c>
      <c r="B323">
        <v>5000</v>
      </c>
      <c r="C323">
        <v>4</v>
      </c>
      <c r="D323">
        <v>11</v>
      </c>
      <c r="E323" s="2">
        <v>0.1308</v>
      </c>
      <c r="F323">
        <v>57738</v>
      </c>
      <c r="G323">
        <v>2500</v>
      </c>
      <c r="H323">
        <v>7500</v>
      </c>
      <c r="I323">
        <v>12</v>
      </c>
      <c r="J323">
        <v>12345</v>
      </c>
      <c r="K323" t="s">
        <v>12</v>
      </c>
    </row>
    <row r="324" spans="1:11" ht="20.100000000000001" customHeight="1">
      <c r="A324" t="s">
        <v>11</v>
      </c>
      <c r="B324">
        <v>5000</v>
      </c>
      <c r="C324">
        <v>4</v>
      </c>
      <c r="D324">
        <v>12</v>
      </c>
      <c r="E324" s="2">
        <v>38.3065</v>
      </c>
      <c r="F324">
        <v>12497500</v>
      </c>
      <c r="G324">
        <v>0</v>
      </c>
      <c r="H324">
        <v>12502499</v>
      </c>
      <c r="I324">
        <v>0</v>
      </c>
      <c r="J324">
        <v>12345</v>
      </c>
      <c r="K324" t="s">
        <v>12</v>
      </c>
    </row>
    <row r="325" spans="1:11" ht="20.100000000000001" customHeight="1">
      <c r="A325" t="s">
        <v>13</v>
      </c>
      <c r="B325">
        <v>5000</v>
      </c>
      <c r="C325">
        <v>4</v>
      </c>
      <c r="D325">
        <v>12</v>
      </c>
      <c r="E325" s="2">
        <v>0.13159999999999999</v>
      </c>
      <c r="F325">
        <v>57738</v>
      </c>
      <c r="G325">
        <v>2500</v>
      </c>
      <c r="H325">
        <v>7500</v>
      </c>
      <c r="I325">
        <v>12</v>
      </c>
      <c r="J325">
        <v>12345</v>
      </c>
      <c r="K325" t="s">
        <v>12</v>
      </c>
    </row>
    <row r="326" spans="1:11" ht="20.100000000000001" customHeight="1">
      <c r="A326" t="s">
        <v>11</v>
      </c>
      <c r="B326">
        <v>5000</v>
      </c>
      <c r="C326">
        <v>4</v>
      </c>
      <c r="D326">
        <v>13</v>
      </c>
      <c r="E326" s="2">
        <v>38.233600000000003</v>
      </c>
      <c r="F326">
        <v>12497500</v>
      </c>
      <c r="G326">
        <v>0</v>
      </c>
      <c r="H326">
        <v>12502499</v>
      </c>
      <c r="I326">
        <v>0</v>
      </c>
      <c r="J326">
        <v>12345</v>
      </c>
      <c r="K326" t="s">
        <v>12</v>
      </c>
    </row>
    <row r="327" spans="1:11" ht="20.100000000000001" customHeight="1">
      <c r="A327" t="s">
        <v>13</v>
      </c>
      <c r="B327">
        <v>5000</v>
      </c>
      <c r="C327">
        <v>4</v>
      </c>
      <c r="D327">
        <v>13</v>
      </c>
      <c r="E327" s="2">
        <v>0.13289999999999999</v>
      </c>
      <c r="F327">
        <v>57738</v>
      </c>
      <c r="G327">
        <v>2500</v>
      </c>
      <c r="H327">
        <v>7500</v>
      </c>
      <c r="I327">
        <v>12</v>
      </c>
      <c r="J327">
        <v>12345</v>
      </c>
      <c r="K327" t="s">
        <v>12</v>
      </c>
    </row>
    <row r="328" spans="1:11" ht="20.100000000000001" customHeight="1">
      <c r="A328" t="s">
        <v>11</v>
      </c>
      <c r="B328">
        <v>5000</v>
      </c>
      <c r="C328">
        <v>4</v>
      </c>
      <c r="D328">
        <v>14</v>
      </c>
      <c r="E328" s="2">
        <v>38.241500000000002</v>
      </c>
      <c r="F328">
        <v>12497500</v>
      </c>
      <c r="G328">
        <v>0</v>
      </c>
      <c r="H328">
        <v>12502499</v>
      </c>
      <c r="I328">
        <v>0</v>
      </c>
      <c r="J328">
        <v>12345</v>
      </c>
      <c r="K328" t="s">
        <v>12</v>
      </c>
    </row>
    <row r="329" spans="1:11" ht="20.100000000000001" customHeight="1">
      <c r="A329" t="s">
        <v>13</v>
      </c>
      <c r="B329">
        <v>5000</v>
      </c>
      <c r="C329">
        <v>4</v>
      </c>
      <c r="D329">
        <v>14</v>
      </c>
      <c r="E329" s="2">
        <v>0.13100000000000001</v>
      </c>
      <c r="F329">
        <v>57738</v>
      </c>
      <c r="G329">
        <v>2500</v>
      </c>
      <c r="H329">
        <v>7500</v>
      </c>
      <c r="I329">
        <v>12</v>
      </c>
      <c r="J329">
        <v>12345</v>
      </c>
      <c r="K329" t="s">
        <v>12</v>
      </c>
    </row>
    <row r="330" spans="1:11" ht="20.100000000000001" customHeight="1">
      <c r="A330" t="s">
        <v>11</v>
      </c>
      <c r="B330">
        <v>5000</v>
      </c>
      <c r="C330">
        <v>4</v>
      </c>
      <c r="D330">
        <v>15</v>
      </c>
      <c r="E330" s="2">
        <v>38.397399999999998</v>
      </c>
      <c r="F330">
        <v>12497500</v>
      </c>
      <c r="G330">
        <v>0</v>
      </c>
      <c r="H330">
        <v>12502499</v>
      </c>
      <c r="I330">
        <v>0</v>
      </c>
      <c r="J330">
        <v>12345</v>
      </c>
      <c r="K330" t="s">
        <v>12</v>
      </c>
    </row>
    <row r="331" spans="1:11" ht="20.100000000000001" customHeight="1">
      <c r="A331" t="s">
        <v>13</v>
      </c>
      <c r="B331">
        <v>5000</v>
      </c>
      <c r="C331">
        <v>4</v>
      </c>
      <c r="D331">
        <v>15</v>
      </c>
      <c r="E331" s="2">
        <v>0.1318</v>
      </c>
      <c r="F331">
        <v>57738</v>
      </c>
      <c r="G331">
        <v>2500</v>
      </c>
      <c r="H331">
        <v>7500</v>
      </c>
      <c r="I331">
        <v>12</v>
      </c>
      <c r="J331">
        <v>12345</v>
      </c>
      <c r="K331" t="s">
        <v>12</v>
      </c>
    </row>
    <row r="332" spans="1:11" ht="20.100000000000001" customHeight="1">
      <c r="A332" t="s">
        <v>11</v>
      </c>
      <c r="B332">
        <v>5000</v>
      </c>
      <c r="C332">
        <v>4</v>
      </c>
      <c r="D332">
        <v>16</v>
      </c>
      <c r="E332" s="2">
        <v>38.659799999999997</v>
      </c>
      <c r="F332">
        <v>12497500</v>
      </c>
      <c r="G332">
        <v>0</v>
      </c>
      <c r="H332">
        <v>12502499</v>
      </c>
      <c r="I332">
        <v>0</v>
      </c>
      <c r="J332">
        <v>12345</v>
      </c>
      <c r="K332" t="s">
        <v>12</v>
      </c>
    </row>
    <row r="333" spans="1:11" ht="20.100000000000001" customHeight="1">
      <c r="A333" t="s">
        <v>13</v>
      </c>
      <c r="B333">
        <v>5000</v>
      </c>
      <c r="C333">
        <v>4</v>
      </c>
      <c r="D333">
        <v>16</v>
      </c>
      <c r="E333" s="2">
        <v>0.13100000000000001</v>
      </c>
      <c r="F333">
        <v>57738</v>
      </c>
      <c r="G333">
        <v>2500</v>
      </c>
      <c r="H333">
        <v>7500</v>
      </c>
      <c r="I333">
        <v>12</v>
      </c>
      <c r="J333">
        <v>12345</v>
      </c>
      <c r="K333" t="s">
        <v>12</v>
      </c>
    </row>
    <row r="334" spans="1:11" ht="20.100000000000001" customHeight="1">
      <c r="A334" t="s">
        <v>11</v>
      </c>
      <c r="B334">
        <v>5000</v>
      </c>
      <c r="C334">
        <v>4</v>
      </c>
      <c r="D334">
        <v>17</v>
      </c>
      <c r="E334" s="2">
        <v>38.345500000000001</v>
      </c>
      <c r="F334">
        <v>12497500</v>
      </c>
      <c r="G334">
        <v>0</v>
      </c>
      <c r="H334">
        <v>12502499</v>
      </c>
      <c r="I334">
        <v>0</v>
      </c>
      <c r="J334">
        <v>12345</v>
      </c>
      <c r="K334" t="s">
        <v>12</v>
      </c>
    </row>
    <row r="335" spans="1:11" ht="20.100000000000001" customHeight="1">
      <c r="A335" t="s">
        <v>13</v>
      </c>
      <c r="B335">
        <v>5000</v>
      </c>
      <c r="C335">
        <v>4</v>
      </c>
      <c r="D335">
        <v>17</v>
      </c>
      <c r="E335" s="2">
        <v>0.13100000000000001</v>
      </c>
      <c r="F335">
        <v>57738</v>
      </c>
      <c r="G335">
        <v>2500</v>
      </c>
      <c r="H335">
        <v>7500</v>
      </c>
      <c r="I335">
        <v>12</v>
      </c>
      <c r="J335">
        <v>12345</v>
      </c>
      <c r="K335" t="s">
        <v>12</v>
      </c>
    </row>
    <row r="336" spans="1:11" ht="20.100000000000001" customHeight="1">
      <c r="A336" t="s">
        <v>11</v>
      </c>
      <c r="B336">
        <v>5000</v>
      </c>
      <c r="C336">
        <v>4</v>
      </c>
      <c r="D336">
        <v>18</v>
      </c>
      <c r="E336" s="2">
        <v>38.207599999999999</v>
      </c>
      <c r="F336">
        <v>12497500</v>
      </c>
      <c r="G336">
        <v>0</v>
      </c>
      <c r="H336">
        <v>12502499</v>
      </c>
      <c r="I336">
        <v>0</v>
      </c>
      <c r="J336">
        <v>12345</v>
      </c>
      <c r="K336" t="s">
        <v>12</v>
      </c>
    </row>
    <row r="337" spans="1:11" ht="20.100000000000001" customHeight="1">
      <c r="A337" t="s">
        <v>13</v>
      </c>
      <c r="B337">
        <v>5000</v>
      </c>
      <c r="C337">
        <v>4</v>
      </c>
      <c r="D337">
        <v>18</v>
      </c>
      <c r="E337" s="2">
        <v>0.1313</v>
      </c>
      <c r="F337">
        <v>57738</v>
      </c>
      <c r="G337">
        <v>2500</v>
      </c>
      <c r="H337">
        <v>7500</v>
      </c>
      <c r="I337">
        <v>12</v>
      </c>
      <c r="J337">
        <v>12345</v>
      </c>
      <c r="K337" t="s">
        <v>12</v>
      </c>
    </row>
    <row r="338" spans="1:11" ht="20.100000000000001" customHeight="1">
      <c r="A338" t="s">
        <v>11</v>
      </c>
      <c r="B338">
        <v>5000</v>
      </c>
      <c r="C338">
        <v>4</v>
      </c>
      <c r="D338">
        <v>19</v>
      </c>
      <c r="E338" s="2">
        <v>38.041800000000002</v>
      </c>
      <c r="F338">
        <v>12497500</v>
      </c>
      <c r="G338">
        <v>0</v>
      </c>
      <c r="H338">
        <v>12502499</v>
      </c>
      <c r="I338">
        <v>0</v>
      </c>
      <c r="J338">
        <v>12345</v>
      </c>
      <c r="K338" t="s">
        <v>12</v>
      </c>
    </row>
    <row r="339" spans="1:11" ht="20.100000000000001" customHeight="1">
      <c r="A339" t="s">
        <v>13</v>
      </c>
      <c r="B339">
        <v>5000</v>
      </c>
      <c r="C339">
        <v>4</v>
      </c>
      <c r="D339">
        <v>19</v>
      </c>
      <c r="E339" s="2">
        <v>0.13</v>
      </c>
      <c r="F339">
        <v>57738</v>
      </c>
      <c r="G339">
        <v>2500</v>
      </c>
      <c r="H339">
        <v>7500</v>
      </c>
      <c r="I339">
        <v>12</v>
      </c>
      <c r="J339">
        <v>12345</v>
      </c>
      <c r="K339" t="s">
        <v>12</v>
      </c>
    </row>
    <row r="340" spans="1:11" ht="20.100000000000001" customHeight="1">
      <c r="A340" t="s">
        <v>11</v>
      </c>
      <c r="B340">
        <v>5000</v>
      </c>
      <c r="C340">
        <v>4</v>
      </c>
      <c r="D340">
        <v>20</v>
      </c>
      <c r="E340" s="2">
        <v>38.028100000000002</v>
      </c>
      <c r="F340">
        <v>12497500</v>
      </c>
      <c r="G340">
        <v>0</v>
      </c>
      <c r="H340">
        <v>12502499</v>
      </c>
      <c r="I340">
        <v>0</v>
      </c>
      <c r="J340">
        <v>12345</v>
      </c>
      <c r="K340" t="s">
        <v>12</v>
      </c>
    </row>
    <row r="341" spans="1:11" ht="20.100000000000001" customHeight="1">
      <c r="A341" t="s">
        <v>13</v>
      </c>
      <c r="B341">
        <v>5000</v>
      </c>
      <c r="C341">
        <v>4</v>
      </c>
      <c r="D341">
        <v>20</v>
      </c>
      <c r="E341" s="2">
        <v>0.13</v>
      </c>
      <c r="F341">
        <v>57738</v>
      </c>
      <c r="G341">
        <v>2500</v>
      </c>
      <c r="H341">
        <v>7500</v>
      </c>
      <c r="I341">
        <v>12</v>
      </c>
      <c r="J341">
        <v>12345</v>
      </c>
      <c r="K341" t="s">
        <v>12</v>
      </c>
    </row>
    <row r="342" spans="1:11" ht="20.100000000000001" customHeight="1">
      <c r="A342" t="s">
        <v>11</v>
      </c>
      <c r="B342">
        <v>5000</v>
      </c>
      <c r="C342">
        <v>4</v>
      </c>
      <c r="D342">
        <v>21</v>
      </c>
      <c r="E342" s="2">
        <v>38.068600000000004</v>
      </c>
      <c r="F342">
        <v>12497500</v>
      </c>
      <c r="G342">
        <v>0</v>
      </c>
      <c r="H342">
        <v>12502499</v>
      </c>
      <c r="I342">
        <v>0</v>
      </c>
      <c r="J342">
        <v>12345</v>
      </c>
      <c r="K342" t="s">
        <v>12</v>
      </c>
    </row>
    <row r="343" spans="1:11" ht="20.100000000000001" customHeight="1">
      <c r="A343" t="s">
        <v>13</v>
      </c>
      <c r="B343">
        <v>5000</v>
      </c>
      <c r="C343">
        <v>4</v>
      </c>
      <c r="D343">
        <v>21</v>
      </c>
      <c r="E343" s="2">
        <v>0.13100000000000001</v>
      </c>
      <c r="F343">
        <v>57738</v>
      </c>
      <c r="G343">
        <v>2500</v>
      </c>
      <c r="H343">
        <v>7500</v>
      </c>
      <c r="I343">
        <v>12</v>
      </c>
      <c r="J343">
        <v>12345</v>
      </c>
      <c r="K343" t="s">
        <v>12</v>
      </c>
    </row>
    <row r="344" spans="1:11" ht="20.100000000000001" customHeight="1">
      <c r="A344" t="s">
        <v>11</v>
      </c>
      <c r="B344">
        <v>5000</v>
      </c>
      <c r="C344">
        <v>4</v>
      </c>
      <c r="D344">
        <v>22</v>
      </c>
      <c r="E344" s="2">
        <v>38.354300000000002</v>
      </c>
      <c r="F344">
        <v>12497500</v>
      </c>
      <c r="G344">
        <v>0</v>
      </c>
      <c r="H344">
        <v>12502499</v>
      </c>
      <c r="I344">
        <v>0</v>
      </c>
      <c r="J344">
        <v>12345</v>
      </c>
      <c r="K344" t="s">
        <v>12</v>
      </c>
    </row>
    <row r="345" spans="1:11" ht="20.100000000000001" customHeight="1">
      <c r="A345" t="s">
        <v>13</v>
      </c>
      <c r="B345">
        <v>5000</v>
      </c>
      <c r="C345">
        <v>4</v>
      </c>
      <c r="D345">
        <v>22</v>
      </c>
      <c r="E345" s="2">
        <v>0.13089999999999999</v>
      </c>
      <c r="F345">
        <v>57738</v>
      </c>
      <c r="G345">
        <v>2500</v>
      </c>
      <c r="H345">
        <v>7500</v>
      </c>
      <c r="I345">
        <v>12</v>
      </c>
      <c r="J345">
        <v>12345</v>
      </c>
      <c r="K345" t="s">
        <v>12</v>
      </c>
    </row>
    <row r="346" spans="1:11" ht="20.100000000000001" customHeight="1">
      <c r="A346" t="s">
        <v>11</v>
      </c>
      <c r="B346">
        <v>5000</v>
      </c>
      <c r="C346">
        <v>4</v>
      </c>
      <c r="D346">
        <v>23</v>
      </c>
      <c r="E346" s="2">
        <v>48.869700000000002</v>
      </c>
      <c r="F346">
        <v>12497500</v>
      </c>
      <c r="G346">
        <v>0</v>
      </c>
      <c r="H346">
        <v>12502499</v>
      </c>
      <c r="I346">
        <v>0</v>
      </c>
      <c r="J346">
        <v>12345</v>
      </c>
      <c r="K346" t="s">
        <v>12</v>
      </c>
    </row>
    <row r="347" spans="1:11" ht="20.100000000000001" customHeight="1">
      <c r="A347" t="s">
        <v>13</v>
      </c>
      <c r="B347">
        <v>5000</v>
      </c>
      <c r="C347">
        <v>4</v>
      </c>
      <c r="D347">
        <v>23</v>
      </c>
      <c r="E347" s="2">
        <v>0.20699999999999999</v>
      </c>
      <c r="F347">
        <v>57738</v>
      </c>
      <c r="G347">
        <v>2500</v>
      </c>
      <c r="H347">
        <v>7500</v>
      </c>
      <c r="I347">
        <v>12</v>
      </c>
      <c r="J347">
        <v>12345</v>
      </c>
      <c r="K347" t="s">
        <v>12</v>
      </c>
    </row>
    <row r="348" spans="1:11" ht="20.100000000000001" customHeight="1">
      <c r="A348" t="s">
        <v>11</v>
      </c>
      <c r="B348">
        <v>5000</v>
      </c>
      <c r="C348">
        <v>4</v>
      </c>
      <c r="D348">
        <v>24</v>
      </c>
      <c r="E348" s="2">
        <v>42.749099999999999</v>
      </c>
      <c r="F348">
        <v>12497500</v>
      </c>
      <c r="G348">
        <v>0</v>
      </c>
      <c r="H348">
        <v>12502499</v>
      </c>
      <c r="I348">
        <v>0</v>
      </c>
      <c r="J348">
        <v>12345</v>
      </c>
      <c r="K348" t="s">
        <v>12</v>
      </c>
    </row>
    <row r="349" spans="1:11" ht="20.100000000000001" customHeight="1">
      <c r="A349" t="s">
        <v>13</v>
      </c>
      <c r="B349">
        <v>5000</v>
      </c>
      <c r="C349">
        <v>4</v>
      </c>
      <c r="D349">
        <v>24</v>
      </c>
      <c r="E349" s="2">
        <v>0.13239999999999999</v>
      </c>
      <c r="F349">
        <v>57738</v>
      </c>
      <c r="G349">
        <v>2500</v>
      </c>
      <c r="H349">
        <v>7500</v>
      </c>
      <c r="I349">
        <v>12</v>
      </c>
      <c r="J349">
        <v>12345</v>
      </c>
      <c r="K349" t="s">
        <v>12</v>
      </c>
    </row>
    <row r="350" spans="1:11" ht="20.100000000000001" customHeight="1">
      <c r="A350" t="s">
        <v>11</v>
      </c>
      <c r="B350">
        <v>5000</v>
      </c>
      <c r="C350">
        <v>4</v>
      </c>
      <c r="D350">
        <v>25</v>
      </c>
      <c r="E350" s="2">
        <v>46.202100000000002</v>
      </c>
      <c r="F350">
        <v>12497500</v>
      </c>
      <c r="G350">
        <v>0</v>
      </c>
      <c r="H350">
        <v>12502499</v>
      </c>
      <c r="I350">
        <v>0</v>
      </c>
      <c r="J350">
        <v>12345</v>
      </c>
      <c r="K350" t="s">
        <v>12</v>
      </c>
    </row>
    <row r="351" spans="1:11" ht="20.100000000000001" customHeight="1">
      <c r="A351" t="s">
        <v>13</v>
      </c>
      <c r="B351">
        <v>5000</v>
      </c>
      <c r="C351">
        <v>4</v>
      </c>
      <c r="D351">
        <v>25</v>
      </c>
      <c r="E351" s="2">
        <v>0.1414</v>
      </c>
      <c r="F351">
        <v>57738</v>
      </c>
      <c r="G351">
        <v>2500</v>
      </c>
      <c r="H351">
        <v>7500</v>
      </c>
      <c r="I351">
        <v>12</v>
      </c>
      <c r="J351">
        <v>12345</v>
      </c>
      <c r="K351" t="s">
        <v>12</v>
      </c>
    </row>
    <row r="352" spans="1:11" ht="20.100000000000001" customHeight="1">
      <c r="A352" t="s">
        <v>11</v>
      </c>
      <c r="B352">
        <v>5000</v>
      </c>
      <c r="C352">
        <v>4</v>
      </c>
      <c r="D352">
        <v>26</v>
      </c>
      <c r="E352" s="2">
        <v>38.494300000000003</v>
      </c>
      <c r="F352">
        <v>12497500</v>
      </c>
      <c r="G352">
        <v>0</v>
      </c>
      <c r="H352">
        <v>12502499</v>
      </c>
      <c r="I352">
        <v>0</v>
      </c>
      <c r="J352">
        <v>12345</v>
      </c>
      <c r="K352" t="s">
        <v>12</v>
      </c>
    </row>
    <row r="353" spans="1:11" ht="20.100000000000001" customHeight="1">
      <c r="A353" t="s">
        <v>13</v>
      </c>
      <c r="B353">
        <v>5000</v>
      </c>
      <c r="C353">
        <v>4</v>
      </c>
      <c r="D353">
        <v>26</v>
      </c>
      <c r="E353" s="2">
        <v>0.13170000000000001</v>
      </c>
      <c r="F353">
        <v>57738</v>
      </c>
      <c r="G353">
        <v>2500</v>
      </c>
      <c r="H353">
        <v>7500</v>
      </c>
      <c r="I353">
        <v>12</v>
      </c>
      <c r="J353">
        <v>12345</v>
      </c>
      <c r="K353" t="s">
        <v>12</v>
      </c>
    </row>
    <row r="354" spans="1:11" ht="20.100000000000001" customHeight="1">
      <c r="A354" t="s">
        <v>11</v>
      </c>
      <c r="B354">
        <v>5000</v>
      </c>
      <c r="C354">
        <v>4</v>
      </c>
      <c r="D354">
        <v>27</v>
      </c>
      <c r="E354" s="2">
        <v>38.226799999999997</v>
      </c>
      <c r="F354">
        <v>12497500</v>
      </c>
      <c r="G354">
        <v>0</v>
      </c>
      <c r="H354">
        <v>12502499</v>
      </c>
      <c r="I354">
        <v>0</v>
      </c>
      <c r="J354">
        <v>12345</v>
      </c>
      <c r="K354" t="s">
        <v>12</v>
      </c>
    </row>
    <row r="355" spans="1:11" ht="20.100000000000001" customHeight="1">
      <c r="A355" t="s">
        <v>13</v>
      </c>
      <c r="B355">
        <v>5000</v>
      </c>
      <c r="C355">
        <v>4</v>
      </c>
      <c r="D355">
        <v>27</v>
      </c>
      <c r="E355" s="2">
        <v>0.13189999999999999</v>
      </c>
      <c r="F355">
        <v>57738</v>
      </c>
      <c r="G355">
        <v>2500</v>
      </c>
      <c r="H355">
        <v>7500</v>
      </c>
      <c r="I355">
        <v>12</v>
      </c>
      <c r="J355">
        <v>12345</v>
      </c>
      <c r="K355" t="s">
        <v>12</v>
      </c>
    </row>
    <row r="356" spans="1:11" ht="20.100000000000001" customHeight="1">
      <c r="A356" t="s">
        <v>11</v>
      </c>
      <c r="B356">
        <v>5000</v>
      </c>
      <c r="C356">
        <v>4</v>
      </c>
      <c r="D356">
        <v>28</v>
      </c>
      <c r="E356" s="2">
        <v>46.3628</v>
      </c>
      <c r="F356">
        <v>12497500</v>
      </c>
      <c r="G356">
        <v>0</v>
      </c>
      <c r="H356">
        <v>12502499</v>
      </c>
      <c r="I356">
        <v>0</v>
      </c>
      <c r="J356">
        <v>12345</v>
      </c>
      <c r="K356" t="s">
        <v>12</v>
      </c>
    </row>
    <row r="357" spans="1:11" ht="20.100000000000001" customHeight="1">
      <c r="A357" t="s">
        <v>13</v>
      </c>
      <c r="B357">
        <v>5000</v>
      </c>
      <c r="C357">
        <v>4</v>
      </c>
      <c r="D357">
        <v>28</v>
      </c>
      <c r="E357" s="2">
        <v>0.20549999999999999</v>
      </c>
      <c r="F357">
        <v>57738</v>
      </c>
      <c r="G357">
        <v>2500</v>
      </c>
      <c r="H357">
        <v>7500</v>
      </c>
      <c r="I357">
        <v>12</v>
      </c>
      <c r="J357">
        <v>12345</v>
      </c>
      <c r="K357" t="s">
        <v>12</v>
      </c>
    </row>
    <row r="358" spans="1:11" ht="20.100000000000001" customHeight="1">
      <c r="A358" t="s">
        <v>11</v>
      </c>
      <c r="B358">
        <v>5000</v>
      </c>
      <c r="C358">
        <v>4</v>
      </c>
      <c r="D358">
        <v>29</v>
      </c>
      <c r="E358" s="2">
        <v>41.479399999999998</v>
      </c>
      <c r="F358">
        <v>12497500</v>
      </c>
      <c r="G358">
        <v>0</v>
      </c>
      <c r="H358">
        <v>12502499</v>
      </c>
      <c r="I358">
        <v>0</v>
      </c>
      <c r="J358">
        <v>12345</v>
      </c>
      <c r="K358" t="s">
        <v>12</v>
      </c>
    </row>
    <row r="359" spans="1:11" ht="20.100000000000001" customHeight="1">
      <c r="A359" t="s">
        <v>13</v>
      </c>
      <c r="B359">
        <v>5000</v>
      </c>
      <c r="C359">
        <v>4</v>
      </c>
      <c r="D359">
        <v>29</v>
      </c>
      <c r="E359" s="2">
        <v>0.13200000000000001</v>
      </c>
      <c r="F359">
        <v>57738</v>
      </c>
      <c r="G359">
        <v>2500</v>
      </c>
      <c r="H359">
        <v>7500</v>
      </c>
      <c r="I359">
        <v>12</v>
      </c>
      <c r="J359">
        <v>12345</v>
      </c>
      <c r="K359" t="s">
        <v>12</v>
      </c>
    </row>
    <row r="360" spans="1:11" ht="20.100000000000001" customHeight="1">
      <c r="A360" t="s">
        <v>11</v>
      </c>
      <c r="B360">
        <v>5000</v>
      </c>
      <c r="C360">
        <v>4</v>
      </c>
      <c r="D360">
        <v>30</v>
      </c>
      <c r="E360" s="2">
        <v>38.865400000000001</v>
      </c>
      <c r="F360">
        <v>12497500</v>
      </c>
      <c r="G360">
        <v>0</v>
      </c>
      <c r="H360">
        <v>12502499</v>
      </c>
      <c r="I360">
        <v>0</v>
      </c>
      <c r="J360">
        <v>12345</v>
      </c>
      <c r="K360" t="s">
        <v>12</v>
      </c>
    </row>
    <row r="361" spans="1:11" ht="20.100000000000001" customHeight="1">
      <c r="A361" t="s">
        <v>13</v>
      </c>
      <c r="B361">
        <v>5000</v>
      </c>
      <c r="C361">
        <v>4</v>
      </c>
      <c r="D361">
        <v>30</v>
      </c>
      <c r="E361" s="2">
        <v>0.1321</v>
      </c>
      <c r="F361">
        <v>57738</v>
      </c>
      <c r="G361">
        <v>2500</v>
      </c>
      <c r="H361">
        <v>7500</v>
      </c>
      <c r="I361">
        <v>12</v>
      </c>
      <c r="J361">
        <v>12345</v>
      </c>
      <c r="K361" t="s">
        <v>12</v>
      </c>
    </row>
    <row r="362" spans="1:11" ht="20.100000000000001" customHeight="1">
      <c r="A362" t="s">
        <v>11</v>
      </c>
      <c r="B362">
        <v>10000</v>
      </c>
      <c r="C362">
        <v>2</v>
      </c>
      <c r="D362">
        <v>1</v>
      </c>
      <c r="E362" s="2">
        <v>85.027100000000004</v>
      </c>
      <c r="F362">
        <v>24965239</v>
      </c>
      <c r="G362">
        <v>0</v>
      </c>
      <c r="H362">
        <v>24965248</v>
      </c>
      <c r="I362">
        <v>0</v>
      </c>
      <c r="J362">
        <v>12345</v>
      </c>
      <c r="K362" t="s">
        <v>12</v>
      </c>
    </row>
    <row r="363" spans="1:11" ht="20.100000000000001" customHeight="1">
      <c r="A363" t="s">
        <v>13</v>
      </c>
      <c r="B363">
        <v>10000</v>
      </c>
      <c r="C363">
        <v>2</v>
      </c>
      <c r="D363">
        <v>1</v>
      </c>
      <c r="E363" s="2">
        <v>1.0055000000000001</v>
      </c>
      <c r="F363">
        <v>176988</v>
      </c>
      <c r="G363">
        <v>32037</v>
      </c>
      <c r="H363">
        <v>96111</v>
      </c>
      <c r="I363">
        <v>30</v>
      </c>
      <c r="J363">
        <v>12345</v>
      </c>
      <c r="K363" t="s">
        <v>12</v>
      </c>
    </row>
    <row r="364" spans="1:11" ht="20.100000000000001" customHeight="1">
      <c r="A364" t="s">
        <v>11</v>
      </c>
      <c r="B364">
        <v>10000</v>
      </c>
      <c r="C364">
        <v>2</v>
      </c>
      <c r="D364">
        <v>2</v>
      </c>
      <c r="E364" s="2">
        <v>76.949200000000005</v>
      </c>
      <c r="F364">
        <v>25047004</v>
      </c>
      <c r="G364">
        <v>0</v>
      </c>
      <c r="H364">
        <v>25047013</v>
      </c>
      <c r="I364">
        <v>0</v>
      </c>
      <c r="J364">
        <v>12345</v>
      </c>
      <c r="K364" t="s">
        <v>12</v>
      </c>
    </row>
    <row r="365" spans="1:11" ht="20.100000000000001" customHeight="1">
      <c r="A365" t="s">
        <v>13</v>
      </c>
      <c r="B365">
        <v>10000</v>
      </c>
      <c r="C365">
        <v>2</v>
      </c>
      <c r="D365">
        <v>2</v>
      </c>
      <c r="E365" s="2">
        <v>0.98670000000000002</v>
      </c>
      <c r="F365">
        <v>168149</v>
      </c>
      <c r="G365">
        <v>32373</v>
      </c>
      <c r="H365">
        <v>97119</v>
      </c>
      <c r="I365">
        <v>26</v>
      </c>
      <c r="J365">
        <v>12345</v>
      </c>
      <c r="K365" t="s">
        <v>12</v>
      </c>
    </row>
    <row r="366" spans="1:11" ht="20.100000000000001" customHeight="1">
      <c r="A366" t="s">
        <v>11</v>
      </c>
      <c r="B366">
        <v>10000</v>
      </c>
      <c r="C366">
        <v>2</v>
      </c>
      <c r="D366">
        <v>3</v>
      </c>
      <c r="E366" s="2">
        <v>78.402600000000007</v>
      </c>
      <c r="F366">
        <v>25157618</v>
      </c>
      <c r="G366">
        <v>0</v>
      </c>
      <c r="H366">
        <v>25157628</v>
      </c>
      <c r="I366">
        <v>0</v>
      </c>
      <c r="J366">
        <v>12345</v>
      </c>
      <c r="K366" t="s">
        <v>12</v>
      </c>
    </row>
    <row r="367" spans="1:11" ht="20.100000000000001" customHeight="1">
      <c r="A367" t="s">
        <v>13</v>
      </c>
      <c r="B367">
        <v>10000</v>
      </c>
      <c r="C367">
        <v>2</v>
      </c>
      <c r="D367">
        <v>3</v>
      </c>
      <c r="E367" s="2">
        <v>1.0283</v>
      </c>
      <c r="F367">
        <v>173634</v>
      </c>
      <c r="G367">
        <v>32204</v>
      </c>
      <c r="H367">
        <v>96612</v>
      </c>
      <c r="I367">
        <v>30</v>
      </c>
      <c r="J367">
        <v>12345</v>
      </c>
      <c r="K367" t="s">
        <v>12</v>
      </c>
    </row>
    <row r="368" spans="1:11" ht="20.100000000000001" customHeight="1">
      <c r="A368" t="s">
        <v>11</v>
      </c>
      <c r="B368">
        <v>10000</v>
      </c>
      <c r="C368">
        <v>2</v>
      </c>
      <c r="D368">
        <v>4</v>
      </c>
      <c r="E368" s="2">
        <v>99.581500000000005</v>
      </c>
      <c r="F368">
        <v>25211564</v>
      </c>
      <c r="G368">
        <v>0</v>
      </c>
      <c r="H368">
        <v>25211568</v>
      </c>
      <c r="I368">
        <v>0</v>
      </c>
      <c r="J368">
        <v>12345</v>
      </c>
      <c r="K368" t="s">
        <v>12</v>
      </c>
    </row>
    <row r="369" spans="1:11" ht="20.100000000000001" customHeight="1">
      <c r="A369" t="s">
        <v>13</v>
      </c>
      <c r="B369">
        <v>10000</v>
      </c>
      <c r="C369">
        <v>2</v>
      </c>
      <c r="D369">
        <v>4</v>
      </c>
      <c r="E369" s="2">
        <v>1.2522</v>
      </c>
      <c r="F369">
        <v>171026</v>
      </c>
      <c r="G369">
        <v>32281</v>
      </c>
      <c r="H369">
        <v>96843</v>
      </c>
      <c r="I369">
        <v>30</v>
      </c>
      <c r="J369">
        <v>12345</v>
      </c>
      <c r="K369" t="s">
        <v>12</v>
      </c>
    </row>
    <row r="370" spans="1:11" ht="20.100000000000001" customHeight="1">
      <c r="A370" t="s">
        <v>11</v>
      </c>
      <c r="B370">
        <v>10000</v>
      </c>
      <c r="C370">
        <v>2</v>
      </c>
      <c r="D370">
        <v>5</v>
      </c>
      <c r="E370" s="2">
        <v>89.942300000000003</v>
      </c>
      <c r="F370">
        <v>25094160</v>
      </c>
      <c r="G370">
        <v>0</v>
      </c>
      <c r="H370">
        <v>25094168</v>
      </c>
      <c r="I370">
        <v>0</v>
      </c>
      <c r="J370">
        <v>12345</v>
      </c>
      <c r="K370" t="s">
        <v>12</v>
      </c>
    </row>
    <row r="371" spans="1:11" ht="20.100000000000001" customHeight="1">
      <c r="A371" t="s">
        <v>13</v>
      </c>
      <c r="B371">
        <v>10000</v>
      </c>
      <c r="C371">
        <v>2</v>
      </c>
      <c r="D371">
        <v>5</v>
      </c>
      <c r="E371" s="2">
        <v>1.0505</v>
      </c>
      <c r="F371">
        <v>184943</v>
      </c>
      <c r="G371">
        <v>32005</v>
      </c>
      <c r="H371">
        <v>96015</v>
      </c>
      <c r="I371">
        <v>31</v>
      </c>
      <c r="J371">
        <v>12345</v>
      </c>
      <c r="K371" t="s">
        <v>12</v>
      </c>
    </row>
    <row r="372" spans="1:11" ht="20.100000000000001" customHeight="1">
      <c r="A372" t="s">
        <v>11</v>
      </c>
      <c r="B372">
        <v>10000</v>
      </c>
      <c r="C372">
        <v>2</v>
      </c>
      <c r="D372">
        <v>6</v>
      </c>
      <c r="E372" s="2">
        <v>93.160399999999996</v>
      </c>
      <c r="F372">
        <v>25101612</v>
      </c>
      <c r="G372">
        <v>0</v>
      </c>
      <c r="H372">
        <v>25101615</v>
      </c>
      <c r="I372">
        <v>0</v>
      </c>
      <c r="J372">
        <v>12345</v>
      </c>
      <c r="K372" t="s">
        <v>12</v>
      </c>
    </row>
    <row r="373" spans="1:11" ht="20.100000000000001" customHeight="1">
      <c r="A373" t="s">
        <v>13</v>
      </c>
      <c r="B373">
        <v>10000</v>
      </c>
      <c r="C373">
        <v>2</v>
      </c>
      <c r="D373">
        <v>6</v>
      </c>
      <c r="E373" s="2">
        <v>1.0072000000000001</v>
      </c>
      <c r="F373">
        <v>174759</v>
      </c>
      <c r="G373">
        <v>32264</v>
      </c>
      <c r="H373">
        <v>96792</v>
      </c>
      <c r="I373">
        <v>27</v>
      </c>
      <c r="J373">
        <v>12345</v>
      </c>
      <c r="K373" t="s">
        <v>12</v>
      </c>
    </row>
    <row r="374" spans="1:11" ht="20.100000000000001" customHeight="1">
      <c r="A374" t="s">
        <v>11</v>
      </c>
      <c r="B374">
        <v>10000</v>
      </c>
      <c r="C374">
        <v>2</v>
      </c>
      <c r="D374">
        <v>7</v>
      </c>
      <c r="E374" s="2">
        <v>78.747</v>
      </c>
      <c r="F374">
        <v>25247230</v>
      </c>
      <c r="G374">
        <v>0</v>
      </c>
      <c r="H374">
        <v>25247232</v>
      </c>
      <c r="I374">
        <v>0</v>
      </c>
      <c r="J374">
        <v>12345</v>
      </c>
      <c r="K374" t="s">
        <v>12</v>
      </c>
    </row>
    <row r="375" spans="1:11" ht="20.100000000000001" customHeight="1">
      <c r="A375" t="s">
        <v>13</v>
      </c>
      <c r="B375">
        <v>10000</v>
      </c>
      <c r="C375">
        <v>2</v>
      </c>
      <c r="D375">
        <v>7</v>
      </c>
      <c r="E375" s="2">
        <v>0.99109999999999998</v>
      </c>
      <c r="F375">
        <v>175848</v>
      </c>
      <c r="G375">
        <v>32132</v>
      </c>
      <c r="H375">
        <v>96396</v>
      </c>
      <c r="I375">
        <v>30</v>
      </c>
      <c r="J375">
        <v>12345</v>
      </c>
      <c r="K375" t="s">
        <v>12</v>
      </c>
    </row>
    <row r="376" spans="1:11" ht="20.100000000000001" customHeight="1">
      <c r="A376" t="s">
        <v>11</v>
      </c>
      <c r="B376">
        <v>10000</v>
      </c>
      <c r="C376">
        <v>2</v>
      </c>
      <c r="D376">
        <v>8</v>
      </c>
      <c r="E376" s="2">
        <v>77.008399999999995</v>
      </c>
      <c r="F376">
        <v>24831334</v>
      </c>
      <c r="G376">
        <v>0</v>
      </c>
      <c r="H376">
        <v>24831337</v>
      </c>
      <c r="I376">
        <v>0</v>
      </c>
      <c r="J376">
        <v>12345</v>
      </c>
      <c r="K376" t="s">
        <v>12</v>
      </c>
    </row>
    <row r="377" spans="1:11" ht="20.100000000000001" customHeight="1">
      <c r="A377" t="s">
        <v>13</v>
      </c>
      <c r="B377">
        <v>10000</v>
      </c>
      <c r="C377">
        <v>2</v>
      </c>
      <c r="D377">
        <v>8</v>
      </c>
      <c r="E377" s="2">
        <v>0.9788</v>
      </c>
      <c r="F377">
        <v>182429</v>
      </c>
      <c r="G377">
        <v>31589</v>
      </c>
      <c r="H377">
        <v>94767</v>
      </c>
      <c r="I377">
        <v>30</v>
      </c>
      <c r="J377">
        <v>12345</v>
      </c>
      <c r="K377" t="s">
        <v>12</v>
      </c>
    </row>
    <row r="378" spans="1:11" ht="20.100000000000001" customHeight="1">
      <c r="A378" t="s">
        <v>11</v>
      </c>
      <c r="B378">
        <v>10000</v>
      </c>
      <c r="C378">
        <v>2</v>
      </c>
      <c r="D378">
        <v>9</v>
      </c>
      <c r="E378" s="2">
        <v>78.437799999999996</v>
      </c>
      <c r="F378">
        <v>24975277</v>
      </c>
      <c r="G378">
        <v>0</v>
      </c>
      <c r="H378">
        <v>24975282</v>
      </c>
      <c r="I378">
        <v>0</v>
      </c>
      <c r="J378">
        <v>12345</v>
      </c>
      <c r="K378" t="s">
        <v>12</v>
      </c>
    </row>
    <row r="379" spans="1:11" ht="20.100000000000001" customHeight="1">
      <c r="A379" t="s">
        <v>13</v>
      </c>
      <c r="B379">
        <v>10000</v>
      </c>
      <c r="C379">
        <v>2</v>
      </c>
      <c r="D379">
        <v>9</v>
      </c>
      <c r="E379" s="2">
        <v>1.5195000000000001</v>
      </c>
      <c r="F379">
        <v>183468</v>
      </c>
      <c r="G379">
        <v>32031</v>
      </c>
      <c r="H379">
        <v>96093</v>
      </c>
      <c r="I379">
        <v>31</v>
      </c>
      <c r="J379">
        <v>12345</v>
      </c>
      <c r="K379" t="s">
        <v>12</v>
      </c>
    </row>
    <row r="380" spans="1:11" ht="20.100000000000001" customHeight="1">
      <c r="A380" t="s">
        <v>11</v>
      </c>
      <c r="B380">
        <v>10000</v>
      </c>
      <c r="C380">
        <v>2</v>
      </c>
      <c r="D380">
        <v>10</v>
      </c>
      <c r="E380" s="2">
        <v>92.124499999999998</v>
      </c>
      <c r="F380">
        <v>25357457</v>
      </c>
      <c r="G380">
        <v>0</v>
      </c>
      <c r="H380">
        <v>25357463</v>
      </c>
      <c r="I380">
        <v>0</v>
      </c>
      <c r="J380">
        <v>12345</v>
      </c>
      <c r="K380" t="s">
        <v>12</v>
      </c>
    </row>
    <row r="381" spans="1:11" ht="20.100000000000001" customHeight="1">
      <c r="A381" t="s">
        <v>13</v>
      </c>
      <c r="B381">
        <v>10000</v>
      </c>
      <c r="C381">
        <v>2</v>
      </c>
      <c r="D381">
        <v>10</v>
      </c>
      <c r="E381" s="2">
        <v>1.0008999999999999</v>
      </c>
      <c r="F381">
        <v>190933</v>
      </c>
      <c r="G381">
        <v>31762</v>
      </c>
      <c r="H381">
        <v>95286</v>
      </c>
      <c r="I381">
        <v>30</v>
      </c>
      <c r="J381">
        <v>12345</v>
      </c>
      <c r="K381" t="s">
        <v>12</v>
      </c>
    </row>
    <row r="382" spans="1:11" ht="20.100000000000001" customHeight="1">
      <c r="A382" t="s">
        <v>11</v>
      </c>
      <c r="B382">
        <v>10000</v>
      </c>
      <c r="C382">
        <v>2</v>
      </c>
      <c r="D382">
        <v>11</v>
      </c>
      <c r="E382" s="2">
        <v>85.713200000000001</v>
      </c>
      <c r="F382">
        <v>24891472</v>
      </c>
      <c r="G382">
        <v>0</v>
      </c>
      <c r="H382">
        <v>24891476</v>
      </c>
      <c r="I382">
        <v>0</v>
      </c>
      <c r="J382">
        <v>12345</v>
      </c>
      <c r="K382" t="s">
        <v>12</v>
      </c>
    </row>
    <row r="383" spans="1:11" ht="20.100000000000001" customHeight="1">
      <c r="A383" t="s">
        <v>13</v>
      </c>
      <c r="B383">
        <v>10000</v>
      </c>
      <c r="C383">
        <v>2</v>
      </c>
      <c r="D383">
        <v>11</v>
      </c>
      <c r="E383" s="2">
        <v>1.0102</v>
      </c>
      <c r="F383">
        <v>168127</v>
      </c>
      <c r="G383">
        <v>32293</v>
      </c>
      <c r="H383">
        <v>96879</v>
      </c>
      <c r="I383">
        <v>27</v>
      </c>
      <c r="J383">
        <v>12345</v>
      </c>
      <c r="K383" t="s">
        <v>12</v>
      </c>
    </row>
    <row r="384" spans="1:11" ht="20.100000000000001" customHeight="1">
      <c r="A384" t="s">
        <v>11</v>
      </c>
      <c r="B384">
        <v>10000</v>
      </c>
      <c r="C384">
        <v>2</v>
      </c>
      <c r="D384">
        <v>12</v>
      </c>
      <c r="E384" s="2">
        <v>76.652500000000003</v>
      </c>
      <c r="F384">
        <v>24996139</v>
      </c>
      <c r="G384">
        <v>0</v>
      </c>
      <c r="H384">
        <v>24996148</v>
      </c>
      <c r="I384">
        <v>0</v>
      </c>
      <c r="J384">
        <v>12345</v>
      </c>
      <c r="K384" t="s">
        <v>12</v>
      </c>
    </row>
    <row r="385" spans="1:11" ht="20.100000000000001" customHeight="1">
      <c r="A385" t="s">
        <v>13</v>
      </c>
      <c r="B385">
        <v>10000</v>
      </c>
      <c r="C385">
        <v>2</v>
      </c>
      <c r="D385">
        <v>12</v>
      </c>
      <c r="E385" s="2">
        <v>1.0026999999999999</v>
      </c>
      <c r="F385">
        <v>182800</v>
      </c>
      <c r="G385">
        <v>31740</v>
      </c>
      <c r="H385">
        <v>95220</v>
      </c>
      <c r="I385">
        <v>29</v>
      </c>
      <c r="J385">
        <v>12345</v>
      </c>
      <c r="K385" t="s">
        <v>12</v>
      </c>
    </row>
    <row r="386" spans="1:11" ht="20.100000000000001" customHeight="1">
      <c r="A386" t="s">
        <v>11</v>
      </c>
      <c r="B386">
        <v>10000</v>
      </c>
      <c r="C386">
        <v>2</v>
      </c>
      <c r="D386">
        <v>13</v>
      </c>
      <c r="E386" s="2">
        <v>76.382499999999993</v>
      </c>
      <c r="F386">
        <v>24858994</v>
      </c>
      <c r="G386">
        <v>0</v>
      </c>
      <c r="H386">
        <v>24859007</v>
      </c>
      <c r="I386">
        <v>0</v>
      </c>
      <c r="J386">
        <v>12345</v>
      </c>
      <c r="K386" t="s">
        <v>12</v>
      </c>
    </row>
    <row r="387" spans="1:11" ht="20.100000000000001" customHeight="1">
      <c r="A387" t="s">
        <v>13</v>
      </c>
      <c r="B387">
        <v>10000</v>
      </c>
      <c r="C387">
        <v>2</v>
      </c>
      <c r="D387">
        <v>13</v>
      </c>
      <c r="E387" s="2">
        <v>0.98780000000000001</v>
      </c>
      <c r="F387">
        <v>176880</v>
      </c>
      <c r="G387">
        <v>32008</v>
      </c>
      <c r="H387">
        <v>96024</v>
      </c>
      <c r="I387">
        <v>30</v>
      </c>
      <c r="J387">
        <v>12345</v>
      </c>
      <c r="K387" t="s">
        <v>12</v>
      </c>
    </row>
    <row r="388" spans="1:11" ht="20.100000000000001" customHeight="1">
      <c r="A388" t="s">
        <v>11</v>
      </c>
      <c r="B388">
        <v>10000</v>
      </c>
      <c r="C388">
        <v>2</v>
      </c>
      <c r="D388">
        <v>14</v>
      </c>
      <c r="E388" s="2">
        <v>77.132999999999996</v>
      </c>
      <c r="F388">
        <v>24967250</v>
      </c>
      <c r="G388">
        <v>0</v>
      </c>
      <c r="H388">
        <v>24967259</v>
      </c>
      <c r="I388">
        <v>0</v>
      </c>
      <c r="J388">
        <v>12345</v>
      </c>
      <c r="K388" t="s">
        <v>12</v>
      </c>
    </row>
    <row r="389" spans="1:11" ht="20.100000000000001" customHeight="1">
      <c r="A389" t="s">
        <v>13</v>
      </c>
      <c r="B389">
        <v>10000</v>
      </c>
      <c r="C389">
        <v>2</v>
      </c>
      <c r="D389">
        <v>14</v>
      </c>
      <c r="E389" s="2">
        <v>1.0102</v>
      </c>
      <c r="F389">
        <v>182624</v>
      </c>
      <c r="G389">
        <v>31893</v>
      </c>
      <c r="H389">
        <v>95679</v>
      </c>
      <c r="I389">
        <v>28</v>
      </c>
      <c r="J389">
        <v>12345</v>
      </c>
      <c r="K389" t="s">
        <v>12</v>
      </c>
    </row>
    <row r="390" spans="1:11" ht="20.100000000000001" customHeight="1">
      <c r="A390" t="s">
        <v>11</v>
      </c>
      <c r="B390">
        <v>10000</v>
      </c>
      <c r="C390">
        <v>2</v>
      </c>
      <c r="D390">
        <v>15</v>
      </c>
      <c r="E390" s="2">
        <v>77.651399999999995</v>
      </c>
      <c r="F390">
        <v>25142720</v>
      </c>
      <c r="G390">
        <v>0</v>
      </c>
      <c r="H390">
        <v>25142729</v>
      </c>
      <c r="I390">
        <v>0</v>
      </c>
      <c r="J390">
        <v>12345</v>
      </c>
      <c r="K390" t="s">
        <v>12</v>
      </c>
    </row>
    <row r="391" spans="1:11" ht="20.100000000000001" customHeight="1">
      <c r="A391" t="s">
        <v>13</v>
      </c>
      <c r="B391">
        <v>10000</v>
      </c>
      <c r="C391">
        <v>2</v>
      </c>
      <c r="D391">
        <v>15</v>
      </c>
      <c r="E391" s="2">
        <v>0.97629999999999995</v>
      </c>
      <c r="F391">
        <v>181247</v>
      </c>
      <c r="G391">
        <v>31921</v>
      </c>
      <c r="H391">
        <v>95763</v>
      </c>
      <c r="I391">
        <v>32</v>
      </c>
      <c r="J391">
        <v>12345</v>
      </c>
      <c r="K391" t="s">
        <v>12</v>
      </c>
    </row>
    <row r="392" spans="1:11" ht="20.100000000000001" customHeight="1">
      <c r="A392" t="s">
        <v>11</v>
      </c>
      <c r="B392">
        <v>10000</v>
      </c>
      <c r="C392">
        <v>2</v>
      </c>
      <c r="D392">
        <v>16</v>
      </c>
      <c r="E392" s="2">
        <v>76.518699999999995</v>
      </c>
      <c r="F392">
        <v>24870444</v>
      </c>
      <c r="G392">
        <v>0</v>
      </c>
      <c r="H392">
        <v>24870449</v>
      </c>
      <c r="I392">
        <v>0</v>
      </c>
      <c r="J392">
        <v>12345</v>
      </c>
      <c r="K392" t="s">
        <v>12</v>
      </c>
    </row>
    <row r="393" spans="1:11" ht="20.100000000000001" customHeight="1">
      <c r="A393" t="s">
        <v>13</v>
      </c>
      <c r="B393">
        <v>10000</v>
      </c>
      <c r="C393">
        <v>2</v>
      </c>
      <c r="D393">
        <v>16</v>
      </c>
      <c r="E393" s="2">
        <v>0.96950000000000003</v>
      </c>
      <c r="F393">
        <v>173532</v>
      </c>
      <c r="G393">
        <v>31754</v>
      </c>
      <c r="H393">
        <v>95262</v>
      </c>
      <c r="I393">
        <v>29</v>
      </c>
      <c r="J393">
        <v>12345</v>
      </c>
      <c r="K393" t="s">
        <v>12</v>
      </c>
    </row>
    <row r="394" spans="1:11" ht="20.100000000000001" customHeight="1">
      <c r="A394" t="s">
        <v>11</v>
      </c>
      <c r="B394">
        <v>10000</v>
      </c>
      <c r="C394">
        <v>2</v>
      </c>
      <c r="D394">
        <v>17</v>
      </c>
      <c r="E394" s="2">
        <v>77.310699999999997</v>
      </c>
      <c r="F394">
        <v>25220473</v>
      </c>
      <c r="G394">
        <v>0</v>
      </c>
      <c r="H394">
        <v>25220483</v>
      </c>
      <c r="I394">
        <v>0</v>
      </c>
      <c r="J394">
        <v>12345</v>
      </c>
      <c r="K394" t="s">
        <v>12</v>
      </c>
    </row>
    <row r="395" spans="1:11" ht="20.100000000000001" customHeight="1">
      <c r="A395" t="s">
        <v>13</v>
      </c>
      <c r="B395">
        <v>10000</v>
      </c>
      <c r="C395">
        <v>2</v>
      </c>
      <c r="D395">
        <v>17</v>
      </c>
      <c r="E395" s="2">
        <v>0.97119999999999995</v>
      </c>
      <c r="F395">
        <v>169687</v>
      </c>
      <c r="G395">
        <v>32232</v>
      </c>
      <c r="H395">
        <v>96696</v>
      </c>
      <c r="I395">
        <v>31</v>
      </c>
      <c r="J395">
        <v>12345</v>
      </c>
      <c r="K395" t="s">
        <v>12</v>
      </c>
    </row>
    <row r="396" spans="1:11" ht="20.100000000000001" customHeight="1">
      <c r="A396" t="s">
        <v>11</v>
      </c>
      <c r="B396">
        <v>10000</v>
      </c>
      <c r="C396">
        <v>2</v>
      </c>
      <c r="D396">
        <v>18</v>
      </c>
      <c r="E396" s="2">
        <v>77.472899999999996</v>
      </c>
      <c r="F396">
        <v>25231575</v>
      </c>
      <c r="G396">
        <v>0</v>
      </c>
      <c r="H396">
        <v>25231584</v>
      </c>
      <c r="I396">
        <v>0</v>
      </c>
      <c r="J396">
        <v>12345</v>
      </c>
      <c r="K396" t="s">
        <v>12</v>
      </c>
    </row>
    <row r="397" spans="1:11" ht="20.100000000000001" customHeight="1">
      <c r="A397" t="s">
        <v>13</v>
      </c>
      <c r="B397">
        <v>10000</v>
      </c>
      <c r="C397">
        <v>2</v>
      </c>
      <c r="D397">
        <v>18</v>
      </c>
      <c r="E397" s="2">
        <v>0.98470000000000002</v>
      </c>
      <c r="F397">
        <v>169166</v>
      </c>
      <c r="G397">
        <v>32536</v>
      </c>
      <c r="H397">
        <v>97608</v>
      </c>
      <c r="I397">
        <v>30</v>
      </c>
      <c r="J397">
        <v>12345</v>
      </c>
      <c r="K397" t="s">
        <v>12</v>
      </c>
    </row>
    <row r="398" spans="1:11" ht="20.100000000000001" customHeight="1">
      <c r="A398" t="s">
        <v>11</v>
      </c>
      <c r="B398">
        <v>10000</v>
      </c>
      <c r="C398">
        <v>2</v>
      </c>
      <c r="D398">
        <v>19</v>
      </c>
      <c r="E398" s="2">
        <v>76.930700000000002</v>
      </c>
      <c r="F398">
        <v>25073601</v>
      </c>
      <c r="G398">
        <v>0</v>
      </c>
      <c r="H398">
        <v>25073606</v>
      </c>
      <c r="I398">
        <v>0</v>
      </c>
      <c r="J398">
        <v>12345</v>
      </c>
      <c r="K398" t="s">
        <v>12</v>
      </c>
    </row>
    <row r="399" spans="1:11" ht="20.100000000000001" customHeight="1">
      <c r="A399" t="s">
        <v>13</v>
      </c>
      <c r="B399">
        <v>10000</v>
      </c>
      <c r="C399">
        <v>2</v>
      </c>
      <c r="D399">
        <v>19</v>
      </c>
      <c r="E399" s="2">
        <v>0.96509999999999996</v>
      </c>
      <c r="F399">
        <v>175878</v>
      </c>
      <c r="G399">
        <v>31723</v>
      </c>
      <c r="H399">
        <v>95169</v>
      </c>
      <c r="I399">
        <v>30</v>
      </c>
      <c r="J399">
        <v>12345</v>
      </c>
      <c r="K399" t="s">
        <v>12</v>
      </c>
    </row>
    <row r="400" spans="1:11" ht="20.100000000000001" customHeight="1">
      <c r="A400" t="s">
        <v>11</v>
      </c>
      <c r="B400">
        <v>10000</v>
      </c>
      <c r="C400">
        <v>2</v>
      </c>
      <c r="D400">
        <v>20</v>
      </c>
      <c r="E400" s="2">
        <v>78.419799999999995</v>
      </c>
      <c r="F400">
        <v>25256629</v>
      </c>
      <c r="G400">
        <v>0</v>
      </c>
      <c r="H400">
        <v>25256634</v>
      </c>
      <c r="I400">
        <v>0</v>
      </c>
      <c r="J400">
        <v>12345</v>
      </c>
      <c r="K400" t="s">
        <v>12</v>
      </c>
    </row>
    <row r="401" spans="1:11" ht="20.100000000000001" customHeight="1">
      <c r="A401" t="s">
        <v>13</v>
      </c>
      <c r="B401">
        <v>10000</v>
      </c>
      <c r="C401">
        <v>2</v>
      </c>
      <c r="D401">
        <v>20</v>
      </c>
      <c r="E401" s="2">
        <v>0.97360000000000002</v>
      </c>
      <c r="F401">
        <v>171747</v>
      </c>
      <c r="G401">
        <v>32112</v>
      </c>
      <c r="H401">
        <v>96336</v>
      </c>
      <c r="I401">
        <v>28</v>
      </c>
      <c r="J401">
        <v>12345</v>
      </c>
      <c r="K401" t="s">
        <v>12</v>
      </c>
    </row>
    <row r="402" spans="1:11" ht="20.100000000000001" customHeight="1">
      <c r="A402" t="s">
        <v>11</v>
      </c>
      <c r="B402">
        <v>10000</v>
      </c>
      <c r="C402">
        <v>2</v>
      </c>
      <c r="D402">
        <v>21</v>
      </c>
      <c r="E402" s="2">
        <v>77.128900000000002</v>
      </c>
      <c r="F402">
        <v>25038502</v>
      </c>
      <c r="G402">
        <v>0</v>
      </c>
      <c r="H402">
        <v>25038513</v>
      </c>
      <c r="I402">
        <v>0</v>
      </c>
      <c r="J402">
        <v>12345</v>
      </c>
      <c r="K402" t="s">
        <v>12</v>
      </c>
    </row>
    <row r="403" spans="1:11" ht="20.100000000000001" customHeight="1">
      <c r="A403" t="s">
        <v>13</v>
      </c>
      <c r="B403">
        <v>10000</v>
      </c>
      <c r="C403">
        <v>2</v>
      </c>
      <c r="D403">
        <v>21</v>
      </c>
      <c r="E403" s="2">
        <v>0.98329999999999995</v>
      </c>
      <c r="F403">
        <v>176754</v>
      </c>
      <c r="G403">
        <v>31948</v>
      </c>
      <c r="H403">
        <v>95844</v>
      </c>
      <c r="I403">
        <v>29</v>
      </c>
      <c r="J403">
        <v>12345</v>
      </c>
      <c r="K403" t="s">
        <v>12</v>
      </c>
    </row>
    <row r="404" spans="1:11" ht="20.100000000000001" customHeight="1">
      <c r="A404" t="s">
        <v>11</v>
      </c>
      <c r="B404">
        <v>10000</v>
      </c>
      <c r="C404">
        <v>2</v>
      </c>
      <c r="D404">
        <v>22</v>
      </c>
      <c r="E404" s="2">
        <v>77.774699999999996</v>
      </c>
      <c r="F404">
        <v>24977547</v>
      </c>
      <c r="G404">
        <v>0</v>
      </c>
      <c r="H404">
        <v>24977556</v>
      </c>
      <c r="I404">
        <v>0</v>
      </c>
      <c r="J404">
        <v>12345</v>
      </c>
      <c r="K404" t="s">
        <v>12</v>
      </c>
    </row>
    <row r="405" spans="1:11" ht="20.100000000000001" customHeight="1">
      <c r="A405" t="s">
        <v>13</v>
      </c>
      <c r="B405">
        <v>10000</v>
      </c>
      <c r="C405">
        <v>2</v>
      </c>
      <c r="D405">
        <v>22</v>
      </c>
      <c r="E405" s="2">
        <v>0.99760000000000004</v>
      </c>
      <c r="F405">
        <v>186442</v>
      </c>
      <c r="G405">
        <v>31449</v>
      </c>
      <c r="H405">
        <v>94347</v>
      </c>
      <c r="I405">
        <v>32</v>
      </c>
      <c r="J405">
        <v>12345</v>
      </c>
      <c r="K405" t="s">
        <v>12</v>
      </c>
    </row>
    <row r="406" spans="1:11" ht="20.100000000000001" customHeight="1">
      <c r="A406" t="s">
        <v>11</v>
      </c>
      <c r="B406">
        <v>10000</v>
      </c>
      <c r="C406">
        <v>2</v>
      </c>
      <c r="D406">
        <v>23</v>
      </c>
      <c r="E406" s="2">
        <v>104.077</v>
      </c>
      <c r="F406">
        <v>25073664</v>
      </c>
      <c r="G406">
        <v>0</v>
      </c>
      <c r="H406">
        <v>25073671</v>
      </c>
      <c r="I406">
        <v>0</v>
      </c>
      <c r="J406">
        <v>12345</v>
      </c>
      <c r="K406" t="s">
        <v>12</v>
      </c>
    </row>
    <row r="407" spans="1:11" ht="20.100000000000001" customHeight="1">
      <c r="A407" t="s">
        <v>13</v>
      </c>
      <c r="B407">
        <v>10000</v>
      </c>
      <c r="C407">
        <v>2</v>
      </c>
      <c r="D407">
        <v>23</v>
      </c>
      <c r="E407" s="2">
        <v>1.2927</v>
      </c>
      <c r="F407">
        <v>170199</v>
      </c>
      <c r="G407">
        <v>32076</v>
      </c>
      <c r="H407">
        <v>96228</v>
      </c>
      <c r="I407">
        <v>28</v>
      </c>
      <c r="J407">
        <v>12345</v>
      </c>
      <c r="K407" t="s">
        <v>12</v>
      </c>
    </row>
    <row r="408" spans="1:11" ht="20.100000000000001" customHeight="1">
      <c r="A408" t="s">
        <v>11</v>
      </c>
      <c r="B408">
        <v>10000</v>
      </c>
      <c r="C408">
        <v>2</v>
      </c>
      <c r="D408">
        <v>24</v>
      </c>
      <c r="E408" s="2">
        <v>89.118799999999993</v>
      </c>
      <c r="F408">
        <v>24998683</v>
      </c>
      <c r="G408">
        <v>0</v>
      </c>
      <c r="H408">
        <v>24998694</v>
      </c>
      <c r="I408">
        <v>0</v>
      </c>
      <c r="J408">
        <v>12345</v>
      </c>
      <c r="K408" t="s">
        <v>12</v>
      </c>
    </row>
    <row r="409" spans="1:11" ht="20.100000000000001" customHeight="1">
      <c r="A409" t="s">
        <v>13</v>
      </c>
      <c r="B409">
        <v>10000</v>
      </c>
      <c r="C409">
        <v>2</v>
      </c>
      <c r="D409">
        <v>24</v>
      </c>
      <c r="E409" s="2">
        <v>1.0245</v>
      </c>
      <c r="F409">
        <v>168177</v>
      </c>
      <c r="G409">
        <v>32193</v>
      </c>
      <c r="H409">
        <v>96579</v>
      </c>
      <c r="I409">
        <v>29</v>
      </c>
      <c r="J409">
        <v>12345</v>
      </c>
      <c r="K409" t="s">
        <v>12</v>
      </c>
    </row>
    <row r="410" spans="1:11" ht="20.100000000000001" customHeight="1">
      <c r="A410" t="s">
        <v>11</v>
      </c>
      <c r="B410">
        <v>10000</v>
      </c>
      <c r="C410">
        <v>2</v>
      </c>
      <c r="D410">
        <v>25</v>
      </c>
      <c r="E410" s="2">
        <v>92.604200000000006</v>
      </c>
      <c r="F410">
        <v>25061513</v>
      </c>
      <c r="G410">
        <v>0</v>
      </c>
      <c r="H410">
        <v>25061525</v>
      </c>
      <c r="I410">
        <v>0</v>
      </c>
      <c r="J410">
        <v>12345</v>
      </c>
      <c r="K410" t="s">
        <v>12</v>
      </c>
    </row>
    <row r="411" spans="1:11" ht="20.100000000000001" customHeight="1">
      <c r="A411" t="s">
        <v>13</v>
      </c>
      <c r="B411">
        <v>10000</v>
      </c>
      <c r="C411">
        <v>2</v>
      </c>
      <c r="D411">
        <v>25</v>
      </c>
      <c r="E411" s="2">
        <v>1.0074000000000001</v>
      </c>
      <c r="F411">
        <v>177048</v>
      </c>
      <c r="G411">
        <v>31925</v>
      </c>
      <c r="H411">
        <v>95775</v>
      </c>
      <c r="I411">
        <v>29</v>
      </c>
      <c r="J411">
        <v>12345</v>
      </c>
      <c r="K411" t="s">
        <v>12</v>
      </c>
    </row>
    <row r="412" spans="1:11" ht="20.100000000000001" customHeight="1">
      <c r="A412" t="s">
        <v>11</v>
      </c>
      <c r="B412">
        <v>10000</v>
      </c>
      <c r="C412">
        <v>2</v>
      </c>
      <c r="D412">
        <v>26</v>
      </c>
      <c r="E412" s="2">
        <v>79.481200000000001</v>
      </c>
      <c r="F412">
        <v>24947448</v>
      </c>
      <c r="G412">
        <v>0</v>
      </c>
      <c r="H412">
        <v>24947457</v>
      </c>
      <c r="I412">
        <v>0</v>
      </c>
      <c r="J412">
        <v>12345</v>
      </c>
      <c r="K412" t="s">
        <v>12</v>
      </c>
    </row>
    <row r="413" spans="1:11" ht="20.100000000000001" customHeight="1">
      <c r="A413" t="s">
        <v>13</v>
      </c>
      <c r="B413">
        <v>10000</v>
      </c>
      <c r="C413">
        <v>2</v>
      </c>
      <c r="D413">
        <v>26</v>
      </c>
      <c r="E413" s="2">
        <v>1.2602</v>
      </c>
      <c r="F413">
        <v>170753</v>
      </c>
      <c r="G413">
        <v>32131</v>
      </c>
      <c r="H413">
        <v>96393</v>
      </c>
      <c r="I413">
        <v>28</v>
      </c>
      <c r="J413">
        <v>12345</v>
      </c>
      <c r="K413" t="s">
        <v>12</v>
      </c>
    </row>
    <row r="414" spans="1:11" ht="20.100000000000001" customHeight="1">
      <c r="A414" t="s">
        <v>11</v>
      </c>
      <c r="B414">
        <v>10000</v>
      </c>
      <c r="C414">
        <v>2</v>
      </c>
      <c r="D414">
        <v>27</v>
      </c>
      <c r="E414" s="2">
        <v>86.933000000000007</v>
      </c>
      <c r="F414">
        <v>25046209</v>
      </c>
      <c r="G414">
        <v>0</v>
      </c>
      <c r="H414">
        <v>25046214</v>
      </c>
      <c r="I414">
        <v>0</v>
      </c>
      <c r="J414">
        <v>12345</v>
      </c>
      <c r="K414" t="s">
        <v>12</v>
      </c>
    </row>
    <row r="415" spans="1:11" ht="20.100000000000001" customHeight="1">
      <c r="A415" t="s">
        <v>13</v>
      </c>
      <c r="B415">
        <v>10000</v>
      </c>
      <c r="C415">
        <v>2</v>
      </c>
      <c r="D415">
        <v>27</v>
      </c>
      <c r="E415" s="2">
        <v>1.0043</v>
      </c>
      <c r="F415">
        <v>186316</v>
      </c>
      <c r="G415">
        <v>31541</v>
      </c>
      <c r="H415">
        <v>94623</v>
      </c>
      <c r="I415">
        <v>31</v>
      </c>
      <c r="J415">
        <v>12345</v>
      </c>
      <c r="K415" t="s">
        <v>12</v>
      </c>
    </row>
    <row r="416" spans="1:11" ht="20.100000000000001" customHeight="1">
      <c r="A416" t="s">
        <v>11</v>
      </c>
      <c r="B416">
        <v>10000</v>
      </c>
      <c r="C416">
        <v>2</v>
      </c>
      <c r="D416">
        <v>28</v>
      </c>
      <c r="E416" s="2">
        <v>75.968699999999998</v>
      </c>
      <c r="F416">
        <v>24603039</v>
      </c>
      <c r="G416">
        <v>0</v>
      </c>
      <c r="H416">
        <v>24603049</v>
      </c>
      <c r="I416">
        <v>0</v>
      </c>
      <c r="J416">
        <v>12345</v>
      </c>
      <c r="K416" t="s">
        <v>12</v>
      </c>
    </row>
    <row r="417" spans="1:11" ht="20.100000000000001" customHeight="1">
      <c r="A417" t="s">
        <v>13</v>
      </c>
      <c r="B417">
        <v>10000</v>
      </c>
      <c r="C417">
        <v>2</v>
      </c>
      <c r="D417">
        <v>28</v>
      </c>
      <c r="E417" s="2">
        <v>0.97889999999999999</v>
      </c>
      <c r="F417">
        <v>179042</v>
      </c>
      <c r="G417">
        <v>31697</v>
      </c>
      <c r="H417">
        <v>95091</v>
      </c>
      <c r="I417">
        <v>29</v>
      </c>
      <c r="J417">
        <v>12345</v>
      </c>
      <c r="K417" t="s">
        <v>12</v>
      </c>
    </row>
    <row r="418" spans="1:11" ht="20.100000000000001" customHeight="1">
      <c r="A418" t="s">
        <v>11</v>
      </c>
      <c r="B418">
        <v>10000</v>
      </c>
      <c r="C418">
        <v>2</v>
      </c>
      <c r="D418">
        <v>29</v>
      </c>
      <c r="E418" s="2">
        <v>76.697400000000002</v>
      </c>
      <c r="F418">
        <v>24891322</v>
      </c>
      <c r="G418">
        <v>0</v>
      </c>
      <c r="H418">
        <v>24891330</v>
      </c>
      <c r="I418">
        <v>0</v>
      </c>
      <c r="J418">
        <v>12345</v>
      </c>
      <c r="K418" t="s">
        <v>12</v>
      </c>
    </row>
    <row r="419" spans="1:11" ht="20.100000000000001" customHeight="1">
      <c r="A419" t="s">
        <v>13</v>
      </c>
      <c r="B419">
        <v>10000</v>
      </c>
      <c r="C419">
        <v>2</v>
      </c>
      <c r="D419">
        <v>29</v>
      </c>
      <c r="E419" s="2">
        <v>0.97660000000000002</v>
      </c>
      <c r="F419">
        <v>170248</v>
      </c>
      <c r="G419">
        <v>32196</v>
      </c>
      <c r="H419">
        <v>96588</v>
      </c>
      <c r="I419">
        <v>27</v>
      </c>
      <c r="J419">
        <v>12345</v>
      </c>
      <c r="K419" t="s">
        <v>12</v>
      </c>
    </row>
    <row r="420" spans="1:11" ht="20.100000000000001" customHeight="1">
      <c r="A420" t="s">
        <v>11</v>
      </c>
      <c r="B420">
        <v>10000</v>
      </c>
      <c r="C420">
        <v>2</v>
      </c>
      <c r="D420">
        <v>30</v>
      </c>
      <c r="E420" s="2">
        <v>77.288899999999998</v>
      </c>
      <c r="F420">
        <v>25071594</v>
      </c>
      <c r="G420">
        <v>0</v>
      </c>
      <c r="H420">
        <v>25071605</v>
      </c>
      <c r="I420">
        <v>0</v>
      </c>
      <c r="J420">
        <v>12345</v>
      </c>
      <c r="K420" t="s">
        <v>12</v>
      </c>
    </row>
    <row r="421" spans="1:11" ht="20.100000000000001" customHeight="1">
      <c r="A421" t="s">
        <v>13</v>
      </c>
      <c r="B421">
        <v>10000</v>
      </c>
      <c r="C421">
        <v>2</v>
      </c>
      <c r="D421">
        <v>30</v>
      </c>
      <c r="E421" s="2">
        <v>0.96640000000000004</v>
      </c>
      <c r="F421">
        <v>169454</v>
      </c>
      <c r="G421">
        <v>31989</v>
      </c>
      <c r="H421">
        <v>95967</v>
      </c>
      <c r="I421">
        <v>28</v>
      </c>
      <c r="J421">
        <v>12345</v>
      </c>
      <c r="K421" t="s">
        <v>12</v>
      </c>
    </row>
    <row r="422" spans="1:11" ht="20.100000000000001" customHeight="1">
      <c r="A422" t="s">
        <v>11</v>
      </c>
      <c r="B422">
        <v>10000</v>
      </c>
      <c r="C422">
        <v>3</v>
      </c>
      <c r="D422">
        <v>1</v>
      </c>
      <c r="E422" s="2">
        <v>8.0500000000000002E-2</v>
      </c>
      <c r="F422">
        <v>9999</v>
      </c>
      <c r="G422">
        <v>0</v>
      </c>
      <c r="H422">
        <v>9999</v>
      </c>
      <c r="I422">
        <v>0</v>
      </c>
      <c r="J422">
        <v>12345</v>
      </c>
      <c r="K422" t="s">
        <v>12</v>
      </c>
    </row>
    <row r="423" spans="1:11" ht="20.100000000000001" customHeight="1">
      <c r="A423" t="s">
        <v>13</v>
      </c>
      <c r="B423">
        <v>10000</v>
      </c>
      <c r="C423">
        <v>3</v>
      </c>
      <c r="D423">
        <v>1</v>
      </c>
      <c r="E423" s="2">
        <v>0.41020000000000001</v>
      </c>
      <c r="F423">
        <v>125439</v>
      </c>
      <c r="G423">
        <v>0</v>
      </c>
      <c r="H423">
        <v>0</v>
      </c>
      <c r="I423">
        <v>13</v>
      </c>
      <c r="J423">
        <v>12345</v>
      </c>
      <c r="K423" t="s">
        <v>12</v>
      </c>
    </row>
    <row r="424" spans="1:11" ht="20.100000000000001" customHeight="1">
      <c r="A424" t="s">
        <v>11</v>
      </c>
      <c r="B424">
        <v>10000</v>
      </c>
      <c r="C424">
        <v>3</v>
      </c>
      <c r="D424">
        <v>2</v>
      </c>
      <c r="E424" s="2">
        <v>8.1500000000000003E-2</v>
      </c>
      <c r="F424">
        <v>9999</v>
      </c>
      <c r="G424">
        <v>0</v>
      </c>
      <c r="H424">
        <v>9999</v>
      </c>
      <c r="I424">
        <v>0</v>
      </c>
      <c r="J424">
        <v>12345</v>
      </c>
      <c r="K424" t="s">
        <v>12</v>
      </c>
    </row>
    <row r="425" spans="1:11" ht="20.100000000000001" customHeight="1">
      <c r="A425" t="s">
        <v>13</v>
      </c>
      <c r="B425">
        <v>10000</v>
      </c>
      <c r="C425">
        <v>3</v>
      </c>
      <c r="D425">
        <v>2</v>
      </c>
      <c r="E425" s="2">
        <v>0.40670000000000001</v>
      </c>
      <c r="F425">
        <v>125439</v>
      </c>
      <c r="G425">
        <v>0</v>
      </c>
      <c r="H425">
        <v>0</v>
      </c>
      <c r="I425">
        <v>13</v>
      </c>
      <c r="J425">
        <v>12345</v>
      </c>
      <c r="K425" t="s">
        <v>12</v>
      </c>
    </row>
    <row r="426" spans="1:11" ht="20.100000000000001" customHeight="1">
      <c r="A426" t="s">
        <v>11</v>
      </c>
      <c r="B426">
        <v>10000</v>
      </c>
      <c r="C426">
        <v>3</v>
      </c>
      <c r="D426">
        <v>3</v>
      </c>
      <c r="E426" s="2">
        <v>8.1000000000000003E-2</v>
      </c>
      <c r="F426">
        <v>9999</v>
      </c>
      <c r="G426">
        <v>0</v>
      </c>
      <c r="H426">
        <v>9999</v>
      </c>
      <c r="I426">
        <v>0</v>
      </c>
      <c r="J426">
        <v>12345</v>
      </c>
      <c r="K426" t="s">
        <v>12</v>
      </c>
    </row>
    <row r="427" spans="1:11" ht="20.100000000000001" customHeight="1">
      <c r="A427" t="s">
        <v>13</v>
      </c>
      <c r="B427">
        <v>10000</v>
      </c>
      <c r="C427">
        <v>3</v>
      </c>
      <c r="D427">
        <v>3</v>
      </c>
      <c r="E427" s="2">
        <v>0.41470000000000001</v>
      </c>
      <c r="F427">
        <v>125439</v>
      </c>
      <c r="G427">
        <v>0</v>
      </c>
      <c r="H427">
        <v>0</v>
      </c>
      <c r="I427">
        <v>13</v>
      </c>
      <c r="J427">
        <v>12345</v>
      </c>
      <c r="K427" t="s">
        <v>12</v>
      </c>
    </row>
    <row r="428" spans="1:11" ht="20.100000000000001" customHeight="1">
      <c r="A428" t="s">
        <v>11</v>
      </c>
      <c r="B428">
        <v>10000</v>
      </c>
      <c r="C428">
        <v>3</v>
      </c>
      <c r="D428">
        <v>4</v>
      </c>
      <c r="E428" s="2">
        <v>8.1900000000000001E-2</v>
      </c>
      <c r="F428">
        <v>9999</v>
      </c>
      <c r="G428">
        <v>0</v>
      </c>
      <c r="H428">
        <v>9999</v>
      </c>
      <c r="I428">
        <v>0</v>
      </c>
      <c r="J428">
        <v>12345</v>
      </c>
      <c r="K428" t="s">
        <v>12</v>
      </c>
    </row>
    <row r="429" spans="1:11" ht="20.100000000000001" customHeight="1">
      <c r="A429" t="s">
        <v>13</v>
      </c>
      <c r="B429">
        <v>10000</v>
      </c>
      <c r="C429">
        <v>3</v>
      </c>
      <c r="D429">
        <v>4</v>
      </c>
      <c r="E429" s="2">
        <v>0.40920000000000001</v>
      </c>
      <c r="F429">
        <v>125439</v>
      </c>
      <c r="G429">
        <v>0</v>
      </c>
      <c r="H429">
        <v>0</v>
      </c>
      <c r="I429">
        <v>13</v>
      </c>
      <c r="J429">
        <v>12345</v>
      </c>
      <c r="K429" t="s">
        <v>12</v>
      </c>
    </row>
    <row r="430" spans="1:11" ht="20.100000000000001" customHeight="1">
      <c r="A430" t="s">
        <v>11</v>
      </c>
      <c r="B430">
        <v>10000</v>
      </c>
      <c r="C430">
        <v>3</v>
      </c>
      <c r="D430">
        <v>5</v>
      </c>
      <c r="E430" s="2">
        <v>8.1000000000000003E-2</v>
      </c>
      <c r="F430">
        <v>9999</v>
      </c>
      <c r="G430">
        <v>0</v>
      </c>
      <c r="H430">
        <v>9999</v>
      </c>
      <c r="I430">
        <v>0</v>
      </c>
      <c r="J430">
        <v>12345</v>
      </c>
      <c r="K430" t="s">
        <v>12</v>
      </c>
    </row>
    <row r="431" spans="1:11" ht="20.100000000000001" customHeight="1">
      <c r="A431" t="s">
        <v>13</v>
      </c>
      <c r="B431">
        <v>10000</v>
      </c>
      <c r="C431">
        <v>3</v>
      </c>
      <c r="D431">
        <v>5</v>
      </c>
      <c r="E431" s="2">
        <v>0.4093</v>
      </c>
      <c r="F431">
        <v>125439</v>
      </c>
      <c r="G431">
        <v>0</v>
      </c>
      <c r="H431">
        <v>0</v>
      </c>
      <c r="I431">
        <v>13</v>
      </c>
      <c r="J431">
        <v>12345</v>
      </c>
      <c r="K431" t="s">
        <v>12</v>
      </c>
    </row>
    <row r="432" spans="1:11" ht="20.100000000000001" customHeight="1">
      <c r="A432" t="s">
        <v>11</v>
      </c>
      <c r="B432">
        <v>10000</v>
      </c>
      <c r="C432">
        <v>3</v>
      </c>
      <c r="D432">
        <v>6</v>
      </c>
      <c r="E432" s="2">
        <v>8.0600000000000005E-2</v>
      </c>
      <c r="F432">
        <v>9999</v>
      </c>
      <c r="G432">
        <v>0</v>
      </c>
      <c r="H432">
        <v>9999</v>
      </c>
      <c r="I432">
        <v>0</v>
      </c>
      <c r="J432">
        <v>12345</v>
      </c>
      <c r="K432" t="s">
        <v>12</v>
      </c>
    </row>
    <row r="433" spans="1:11" ht="20.100000000000001" customHeight="1">
      <c r="A433" t="s">
        <v>13</v>
      </c>
      <c r="B433">
        <v>10000</v>
      </c>
      <c r="C433">
        <v>3</v>
      </c>
      <c r="D433">
        <v>6</v>
      </c>
      <c r="E433" s="2">
        <v>0.41</v>
      </c>
      <c r="F433">
        <v>125439</v>
      </c>
      <c r="G433">
        <v>0</v>
      </c>
      <c r="H433">
        <v>0</v>
      </c>
      <c r="I433">
        <v>13</v>
      </c>
      <c r="J433">
        <v>12345</v>
      </c>
      <c r="K433" t="s">
        <v>12</v>
      </c>
    </row>
    <row r="434" spans="1:11" ht="20.100000000000001" customHeight="1">
      <c r="A434" t="s">
        <v>11</v>
      </c>
      <c r="B434">
        <v>10000</v>
      </c>
      <c r="C434">
        <v>3</v>
      </c>
      <c r="D434">
        <v>7</v>
      </c>
      <c r="E434" s="2">
        <v>8.0399999999999999E-2</v>
      </c>
      <c r="F434">
        <v>9999</v>
      </c>
      <c r="G434">
        <v>0</v>
      </c>
      <c r="H434">
        <v>9999</v>
      </c>
      <c r="I434">
        <v>0</v>
      </c>
      <c r="J434">
        <v>12345</v>
      </c>
      <c r="K434" t="s">
        <v>12</v>
      </c>
    </row>
    <row r="435" spans="1:11" ht="20.100000000000001" customHeight="1">
      <c r="A435" t="s">
        <v>13</v>
      </c>
      <c r="B435">
        <v>10000</v>
      </c>
      <c r="C435">
        <v>3</v>
      </c>
      <c r="D435">
        <v>7</v>
      </c>
      <c r="E435" s="2">
        <v>0.42620000000000002</v>
      </c>
      <c r="F435">
        <v>125439</v>
      </c>
      <c r="G435">
        <v>0</v>
      </c>
      <c r="H435">
        <v>0</v>
      </c>
      <c r="I435">
        <v>13</v>
      </c>
      <c r="J435">
        <v>12345</v>
      </c>
      <c r="K435" t="s">
        <v>12</v>
      </c>
    </row>
    <row r="436" spans="1:11" ht="20.100000000000001" customHeight="1">
      <c r="A436" t="s">
        <v>11</v>
      </c>
      <c r="B436">
        <v>10000</v>
      </c>
      <c r="C436">
        <v>3</v>
      </c>
      <c r="D436">
        <v>8</v>
      </c>
      <c r="E436" s="2">
        <v>8.0399999999999999E-2</v>
      </c>
      <c r="F436">
        <v>9999</v>
      </c>
      <c r="G436">
        <v>0</v>
      </c>
      <c r="H436">
        <v>9999</v>
      </c>
      <c r="I436">
        <v>0</v>
      </c>
      <c r="J436">
        <v>12345</v>
      </c>
      <c r="K436" t="s">
        <v>12</v>
      </c>
    </row>
    <row r="437" spans="1:11" ht="20.100000000000001" customHeight="1">
      <c r="A437" t="s">
        <v>13</v>
      </c>
      <c r="B437">
        <v>10000</v>
      </c>
      <c r="C437">
        <v>3</v>
      </c>
      <c r="D437">
        <v>8</v>
      </c>
      <c r="E437" s="2">
        <v>0.40949999999999998</v>
      </c>
      <c r="F437">
        <v>125439</v>
      </c>
      <c r="G437">
        <v>0</v>
      </c>
      <c r="H437">
        <v>0</v>
      </c>
      <c r="I437">
        <v>13</v>
      </c>
      <c r="J437">
        <v>12345</v>
      </c>
      <c r="K437" t="s">
        <v>12</v>
      </c>
    </row>
    <row r="438" spans="1:11" ht="20.100000000000001" customHeight="1">
      <c r="A438" t="s">
        <v>11</v>
      </c>
      <c r="B438">
        <v>10000</v>
      </c>
      <c r="C438">
        <v>3</v>
      </c>
      <c r="D438">
        <v>9</v>
      </c>
      <c r="E438" s="2">
        <v>8.1100000000000005E-2</v>
      </c>
      <c r="F438">
        <v>9999</v>
      </c>
      <c r="G438">
        <v>0</v>
      </c>
      <c r="H438">
        <v>9999</v>
      </c>
      <c r="I438">
        <v>0</v>
      </c>
      <c r="J438">
        <v>12345</v>
      </c>
      <c r="K438" t="s">
        <v>12</v>
      </c>
    </row>
    <row r="439" spans="1:11" ht="20.100000000000001" customHeight="1">
      <c r="A439" t="s">
        <v>13</v>
      </c>
      <c r="B439">
        <v>10000</v>
      </c>
      <c r="C439">
        <v>3</v>
      </c>
      <c r="D439">
        <v>9</v>
      </c>
      <c r="E439" s="2">
        <v>0.40889999999999999</v>
      </c>
      <c r="F439">
        <v>125439</v>
      </c>
      <c r="G439">
        <v>0</v>
      </c>
      <c r="H439">
        <v>0</v>
      </c>
      <c r="I439">
        <v>13</v>
      </c>
      <c r="J439">
        <v>12345</v>
      </c>
      <c r="K439" t="s">
        <v>12</v>
      </c>
    </row>
    <row r="440" spans="1:11" ht="20.100000000000001" customHeight="1">
      <c r="A440" t="s">
        <v>11</v>
      </c>
      <c r="B440">
        <v>10000</v>
      </c>
      <c r="C440">
        <v>3</v>
      </c>
      <c r="D440">
        <v>10</v>
      </c>
      <c r="E440" s="2">
        <v>8.1000000000000003E-2</v>
      </c>
      <c r="F440">
        <v>9999</v>
      </c>
      <c r="G440">
        <v>0</v>
      </c>
      <c r="H440">
        <v>9999</v>
      </c>
      <c r="I440">
        <v>0</v>
      </c>
      <c r="J440">
        <v>12345</v>
      </c>
      <c r="K440" t="s">
        <v>12</v>
      </c>
    </row>
    <row r="441" spans="1:11" ht="20.100000000000001" customHeight="1">
      <c r="A441" t="s">
        <v>13</v>
      </c>
      <c r="B441">
        <v>10000</v>
      </c>
      <c r="C441">
        <v>3</v>
      </c>
      <c r="D441">
        <v>10</v>
      </c>
      <c r="E441" s="2">
        <v>0.41789999999999999</v>
      </c>
      <c r="F441">
        <v>125439</v>
      </c>
      <c r="G441">
        <v>0</v>
      </c>
      <c r="H441">
        <v>0</v>
      </c>
      <c r="I441">
        <v>13</v>
      </c>
      <c r="J441">
        <v>12345</v>
      </c>
      <c r="K441" t="s">
        <v>12</v>
      </c>
    </row>
    <row r="442" spans="1:11" ht="20.100000000000001" customHeight="1">
      <c r="A442" t="s">
        <v>11</v>
      </c>
      <c r="B442">
        <v>10000</v>
      </c>
      <c r="C442">
        <v>3</v>
      </c>
      <c r="D442">
        <v>11</v>
      </c>
      <c r="E442" s="2">
        <v>8.1299999999999997E-2</v>
      </c>
      <c r="F442">
        <v>9999</v>
      </c>
      <c r="G442">
        <v>0</v>
      </c>
      <c r="H442">
        <v>9999</v>
      </c>
      <c r="I442">
        <v>0</v>
      </c>
      <c r="J442">
        <v>12345</v>
      </c>
      <c r="K442" t="s">
        <v>12</v>
      </c>
    </row>
    <row r="443" spans="1:11" ht="20.100000000000001" customHeight="1">
      <c r="A443" t="s">
        <v>13</v>
      </c>
      <c r="B443">
        <v>10000</v>
      </c>
      <c r="C443">
        <v>3</v>
      </c>
      <c r="D443">
        <v>11</v>
      </c>
      <c r="E443" s="2">
        <v>0.40910000000000002</v>
      </c>
      <c r="F443">
        <v>125439</v>
      </c>
      <c r="G443">
        <v>0</v>
      </c>
      <c r="H443">
        <v>0</v>
      </c>
      <c r="I443">
        <v>13</v>
      </c>
      <c r="J443">
        <v>12345</v>
      </c>
      <c r="K443" t="s">
        <v>12</v>
      </c>
    </row>
    <row r="444" spans="1:11" ht="20.100000000000001" customHeight="1">
      <c r="A444" t="s">
        <v>11</v>
      </c>
      <c r="B444">
        <v>10000</v>
      </c>
      <c r="C444">
        <v>3</v>
      </c>
      <c r="D444">
        <v>12</v>
      </c>
      <c r="E444" s="2">
        <v>8.1900000000000001E-2</v>
      </c>
      <c r="F444">
        <v>9999</v>
      </c>
      <c r="G444">
        <v>0</v>
      </c>
      <c r="H444">
        <v>9999</v>
      </c>
      <c r="I444">
        <v>0</v>
      </c>
      <c r="J444">
        <v>12345</v>
      </c>
      <c r="K444" t="s">
        <v>12</v>
      </c>
    </row>
    <row r="445" spans="1:11" ht="20.100000000000001" customHeight="1">
      <c r="A445" t="s">
        <v>13</v>
      </c>
      <c r="B445">
        <v>10000</v>
      </c>
      <c r="C445">
        <v>3</v>
      </c>
      <c r="D445">
        <v>12</v>
      </c>
      <c r="E445" s="2">
        <v>0.40920000000000001</v>
      </c>
      <c r="F445">
        <v>125439</v>
      </c>
      <c r="G445">
        <v>0</v>
      </c>
      <c r="H445">
        <v>0</v>
      </c>
      <c r="I445">
        <v>13</v>
      </c>
      <c r="J445">
        <v>12345</v>
      </c>
      <c r="K445" t="s">
        <v>12</v>
      </c>
    </row>
    <row r="446" spans="1:11" ht="20.100000000000001" customHeight="1">
      <c r="A446" t="s">
        <v>11</v>
      </c>
      <c r="B446">
        <v>10000</v>
      </c>
      <c r="C446">
        <v>3</v>
      </c>
      <c r="D446">
        <v>13</v>
      </c>
      <c r="E446" s="2">
        <v>8.1600000000000006E-2</v>
      </c>
      <c r="F446">
        <v>9999</v>
      </c>
      <c r="G446">
        <v>0</v>
      </c>
      <c r="H446">
        <v>9999</v>
      </c>
      <c r="I446">
        <v>0</v>
      </c>
      <c r="J446">
        <v>12345</v>
      </c>
      <c r="K446" t="s">
        <v>12</v>
      </c>
    </row>
    <row r="447" spans="1:11" ht="20.100000000000001" customHeight="1">
      <c r="A447" t="s">
        <v>13</v>
      </c>
      <c r="B447">
        <v>10000</v>
      </c>
      <c r="C447">
        <v>3</v>
      </c>
      <c r="D447">
        <v>13</v>
      </c>
      <c r="E447" s="2">
        <v>0.41139999999999999</v>
      </c>
      <c r="F447">
        <v>125439</v>
      </c>
      <c r="G447">
        <v>0</v>
      </c>
      <c r="H447">
        <v>0</v>
      </c>
      <c r="I447">
        <v>13</v>
      </c>
      <c r="J447">
        <v>12345</v>
      </c>
      <c r="K447" t="s">
        <v>12</v>
      </c>
    </row>
    <row r="448" spans="1:11" ht="20.100000000000001" customHeight="1">
      <c r="A448" t="s">
        <v>11</v>
      </c>
      <c r="B448">
        <v>10000</v>
      </c>
      <c r="C448">
        <v>3</v>
      </c>
      <c r="D448">
        <v>14</v>
      </c>
      <c r="E448" s="2">
        <v>6.8199999999999997E-2</v>
      </c>
      <c r="F448">
        <v>9999</v>
      </c>
      <c r="G448">
        <v>0</v>
      </c>
      <c r="H448">
        <v>9999</v>
      </c>
      <c r="I448">
        <v>0</v>
      </c>
      <c r="J448">
        <v>12345</v>
      </c>
      <c r="K448" t="s">
        <v>12</v>
      </c>
    </row>
    <row r="449" spans="1:11" ht="20.100000000000001" customHeight="1">
      <c r="A449" t="s">
        <v>13</v>
      </c>
      <c r="B449">
        <v>10000</v>
      </c>
      <c r="C449">
        <v>3</v>
      </c>
      <c r="D449">
        <v>14</v>
      </c>
      <c r="E449" s="2">
        <v>0.34549999999999997</v>
      </c>
      <c r="F449">
        <v>125439</v>
      </c>
      <c r="G449">
        <v>0</v>
      </c>
      <c r="H449">
        <v>0</v>
      </c>
      <c r="I449">
        <v>13</v>
      </c>
      <c r="J449">
        <v>12345</v>
      </c>
      <c r="K449" t="s">
        <v>12</v>
      </c>
    </row>
    <row r="450" spans="1:11" ht="20.100000000000001" customHeight="1">
      <c r="A450" t="s">
        <v>11</v>
      </c>
      <c r="B450">
        <v>10000</v>
      </c>
      <c r="C450">
        <v>3</v>
      </c>
      <c r="D450">
        <v>15</v>
      </c>
      <c r="E450" s="2">
        <v>6.7900000000000002E-2</v>
      </c>
      <c r="F450">
        <v>9999</v>
      </c>
      <c r="G450">
        <v>0</v>
      </c>
      <c r="H450">
        <v>9999</v>
      </c>
      <c r="I450">
        <v>0</v>
      </c>
      <c r="J450">
        <v>12345</v>
      </c>
      <c r="K450" t="s">
        <v>12</v>
      </c>
    </row>
    <row r="451" spans="1:11" ht="20.100000000000001" customHeight="1">
      <c r="A451" t="s">
        <v>13</v>
      </c>
      <c r="B451">
        <v>10000</v>
      </c>
      <c r="C451">
        <v>3</v>
      </c>
      <c r="D451">
        <v>15</v>
      </c>
      <c r="E451" s="2">
        <v>0.34520000000000001</v>
      </c>
      <c r="F451">
        <v>125439</v>
      </c>
      <c r="G451">
        <v>0</v>
      </c>
      <c r="H451">
        <v>0</v>
      </c>
      <c r="I451">
        <v>13</v>
      </c>
      <c r="J451">
        <v>12345</v>
      </c>
      <c r="K451" t="s">
        <v>12</v>
      </c>
    </row>
    <row r="452" spans="1:11" ht="20.100000000000001" customHeight="1">
      <c r="A452" t="s">
        <v>11</v>
      </c>
      <c r="B452">
        <v>10000</v>
      </c>
      <c r="C452">
        <v>3</v>
      </c>
      <c r="D452">
        <v>16</v>
      </c>
      <c r="E452" s="2">
        <v>6.83E-2</v>
      </c>
      <c r="F452">
        <v>9999</v>
      </c>
      <c r="G452">
        <v>0</v>
      </c>
      <c r="H452">
        <v>9999</v>
      </c>
      <c r="I452">
        <v>0</v>
      </c>
      <c r="J452">
        <v>12345</v>
      </c>
      <c r="K452" t="s">
        <v>12</v>
      </c>
    </row>
    <row r="453" spans="1:11" ht="20.100000000000001" customHeight="1">
      <c r="A453" t="s">
        <v>13</v>
      </c>
      <c r="B453">
        <v>10000</v>
      </c>
      <c r="C453">
        <v>3</v>
      </c>
      <c r="D453">
        <v>16</v>
      </c>
      <c r="E453" s="2">
        <v>0.3584</v>
      </c>
      <c r="F453">
        <v>125439</v>
      </c>
      <c r="G453">
        <v>0</v>
      </c>
      <c r="H453">
        <v>0</v>
      </c>
      <c r="I453">
        <v>13</v>
      </c>
      <c r="J453">
        <v>12345</v>
      </c>
      <c r="K453" t="s">
        <v>12</v>
      </c>
    </row>
    <row r="454" spans="1:11" ht="20.100000000000001" customHeight="1">
      <c r="A454" t="s">
        <v>11</v>
      </c>
      <c r="B454">
        <v>10000</v>
      </c>
      <c r="C454">
        <v>3</v>
      </c>
      <c r="D454">
        <v>17</v>
      </c>
      <c r="E454" s="2">
        <v>8.48E-2</v>
      </c>
      <c r="F454">
        <v>9999</v>
      </c>
      <c r="G454">
        <v>0</v>
      </c>
      <c r="H454">
        <v>9999</v>
      </c>
      <c r="I454">
        <v>0</v>
      </c>
      <c r="J454">
        <v>12345</v>
      </c>
      <c r="K454" t="s">
        <v>12</v>
      </c>
    </row>
    <row r="455" spans="1:11" ht="20.100000000000001" customHeight="1">
      <c r="A455" t="s">
        <v>13</v>
      </c>
      <c r="B455">
        <v>10000</v>
      </c>
      <c r="C455">
        <v>3</v>
      </c>
      <c r="D455">
        <v>17</v>
      </c>
      <c r="E455" s="2">
        <v>0.37819999999999998</v>
      </c>
      <c r="F455">
        <v>125439</v>
      </c>
      <c r="G455">
        <v>0</v>
      </c>
      <c r="H455">
        <v>0</v>
      </c>
      <c r="I455">
        <v>13</v>
      </c>
      <c r="J455">
        <v>12345</v>
      </c>
      <c r="K455" t="s">
        <v>12</v>
      </c>
    </row>
    <row r="456" spans="1:11" ht="20.100000000000001" customHeight="1">
      <c r="A456" t="s">
        <v>11</v>
      </c>
      <c r="B456">
        <v>10000</v>
      </c>
      <c r="C456">
        <v>3</v>
      </c>
      <c r="D456">
        <v>18</v>
      </c>
      <c r="E456" s="2">
        <v>7.4099999999999999E-2</v>
      </c>
      <c r="F456">
        <v>9999</v>
      </c>
      <c r="G456">
        <v>0</v>
      </c>
      <c r="H456">
        <v>9999</v>
      </c>
      <c r="I456">
        <v>0</v>
      </c>
      <c r="J456">
        <v>12345</v>
      </c>
      <c r="K456" t="s">
        <v>12</v>
      </c>
    </row>
    <row r="457" spans="1:11" ht="20.100000000000001" customHeight="1">
      <c r="A457" t="s">
        <v>13</v>
      </c>
      <c r="B457">
        <v>10000</v>
      </c>
      <c r="C457">
        <v>3</v>
      </c>
      <c r="D457">
        <v>18</v>
      </c>
      <c r="E457" s="2">
        <v>0.37369999999999998</v>
      </c>
      <c r="F457">
        <v>125439</v>
      </c>
      <c r="G457">
        <v>0</v>
      </c>
      <c r="H457">
        <v>0</v>
      </c>
      <c r="I457">
        <v>13</v>
      </c>
      <c r="J457">
        <v>12345</v>
      </c>
      <c r="K457" t="s">
        <v>12</v>
      </c>
    </row>
    <row r="458" spans="1:11" ht="20.100000000000001" customHeight="1">
      <c r="A458" t="s">
        <v>11</v>
      </c>
      <c r="B458">
        <v>10000</v>
      </c>
      <c r="C458">
        <v>3</v>
      </c>
      <c r="D458">
        <v>19</v>
      </c>
      <c r="E458" s="2">
        <v>7.4200000000000002E-2</v>
      </c>
      <c r="F458">
        <v>9999</v>
      </c>
      <c r="G458">
        <v>0</v>
      </c>
      <c r="H458">
        <v>9999</v>
      </c>
      <c r="I458">
        <v>0</v>
      </c>
      <c r="J458">
        <v>12345</v>
      </c>
      <c r="K458" t="s">
        <v>12</v>
      </c>
    </row>
    <row r="459" spans="1:11" ht="20.100000000000001" customHeight="1">
      <c r="A459" t="s">
        <v>13</v>
      </c>
      <c r="B459">
        <v>10000</v>
      </c>
      <c r="C459">
        <v>3</v>
      </c>
      <c r="D459">
        <v>19</v>
      </c>
      <c r="E459" s="2">
        <v>0.42649999999999999</v>
      </c>
      <c r="F459">
        <v>125439</v>
      </c>
      <c r="G459">
        <v>0</v>
      </c>
      <c r="H459">
        <v>0</v>
      </c>
      <c r="I459">
        <v>13</v>
      </c>
      <c r="J459">
        <v>12345</v>
      </c>
      <c r="K459" t="s">
        <v>12</v>
      </c>
    </row>
    <row r="460" spans="1:11" ht="20.100000000000001" customHeight="1">
      <c r="A460" t="s">
        <v>11</v>
      </c>
      <c r="B460">
        <v>10000</v>
      </c>
      <c r="C460">
        <v>3</v>
      </c>
      <c r="D460">
        <v>20</v>
      </c>
      <c r="E460" s="2">
        <v>8.2699999999999996E-2</v>
      </c>
      <c r="F460">
        <v>9999</v>
      </c>
      <c r="G460">
        <v>0</v>
      </c>
      <c r="H460">
        <v>9999</v>
      </c>
      <c r="I460">
        <v>0</v>
      </c>
      <c r="J460">
        <v>12345</v>
      </c>
      <c r="K460" t="s">
        <v>12</v>
      </c>
    </row>
    <row r="461" spans="1:11" ht="20.100000000000001" customHeight="1">
      <c r="A461" t="s">
        <v>13</v>
      </c>
      <c r="B461">
        <v>10000</v>
      </c>
      <c r="C461">
        <v>3</v>
      </c>
      <c r="D461">
        <v>20</v>
      </c>
      <c r="E461" s="2">
        <v>0.41909999999999997</v>
      </c>
      <c r="F461">
        <v>125439</v>
      </c>
      <c r="G461">
        <v>0</v>
      </c>
      <c r="H461">
        <v>0</v>
      </c>
      <c r="I461">
        <v>13</v>
      </c>
      <c r="J461">
        <v>12345</v>
      </c>
      <c r="K461" t="s">
        <v>12</v>
      </c>
    </row>
    <row r="462" spans="1:11" ht="20.100000000000001" customHeight="1">
      <c r="A462" t="s">
        <v>11</v>
      </c>
      <c r="B462">
        <v>10000</v>
      </c>
      <c r="C462">
        <v>3</v>
      </c>
      <c r="D462">
        <v>21</v>
      </c>
      <c r="E462" s="2">
        <v>8.8400000000000006E-2</v>
      </c>
      <c r="F462">
        <v>9999</v>
      </c>
      <c r="G462">
        <v>0</v>
      </c>
      <c r="H462">
        <v>9999</v>
      </c>
      <c r="I462">
        <v>0</v>
      </c>
      <c r="J462">
        <v>12345</v>
      </c>
      <c r="K462" t="s">
        <v>12</v>
      </c>
    </row>
    <row r="463" spans="1:11" ht="20.100000000000001" customHeight="1">
      <c r="A463" t="s">
        <v>13</v>
      </c>
      <c r="B463">
        <v>10000</v>
      </c>
      <c r="C463">
        <v>3</v>
      </c>
      <c r="D463">
        <v>21</v>
      </c>
      <c r="E463" s="2">
        <v>0.42209999999999998</v>
      </c>
      <c r="F463">
        <v>125439</v>
      </c>
      <c r="G463">
        <v>0</v>
      </c>
      <c r="H463">
        <v>0</v>
      </c>
      <c r="I463">
        <v>13</v>
      </c>
      <c r="J463">
        <v>12345</v>
      </c>
      <c r="K463" t="s">
        <v>12</v>
      </c>
    </row>
    <row r="464" spans="1:11" ht="20.100000000000001" customHeight="1">
      <c r="A464" t="s">
        <v>11</v>
      </c>
      <c r="B464">
        <v>10000</v>
      </c>
      <c r="C464">
        <v>3</v>
      </c>
      <c r="D464">
        <v>22</v>
      </c>
      <c r="E464" s="2">
        <v>8.3199999999999996E-2</v>
      </c>
      <c r="F464">
        <v>9999</v>
      </c>
      <c r="G464">
        <v>0</v>
      </c>
      <c r="H464">
        <v>9999</v>
      </c>
      <c r="I464">
        <v>0</v>
      </c>
      <c r="J464">
        <v>12345</v>
      </c>
      <c r="K464" t="s">
        <v>12</v>
      </c>
    </row>
    <row r="465" spans="1:11" ht="20.100000000000001" customHeight="1">
      <c r="A465" t="s">
        <v>13</v>
      </c>
      <c r="B465">
        <v>10000</v>
      </c>
      <c r="C465">
        <v>3</v>
      </c>
      <c r="D465">
        <v>22</v>
      </c>
      <c r="E465" s="2">
        <v>0.41870000000000002</v>
      </c>
      <c r="F465">
        <v>125439</v>
      </c>
      <c r="G465">
        <v>0</v>
      </c>
      <c r="H465">
        <v>0</v>
      </c>
      <c r="I465">
        <v>13</v>
      </c>
      <c r="J465">
        <v>12345</v>
      </c>
      <c r="K465" t="s">
        <v>12</v>
      </c>
    </row>
    <row r="466" spans="1:11" ht="20.100000000000001" customHeight="1">
      <c r="A466" t="s">
        <v>11</v>
      </c>
      <c r="B466">
        <v>10000</v>
      </c>
      <c r="C466">
        <v>3</v>
      </c>
      <c r="D466">
        <v>23</v>
      </c>
      <c r="E466" s="2">
        <v>8.3400000000000002E-2</v>
      </c>
      <c r="F466">
        <v>9999</v>
      </c>
      <c r="G466">
        <v>0</v>
      </c>
      <c r="H466">
        <v>9999</v>
      </c>
      <c r="I466">
        <v>0</v>
      </c>
      <c r="J466">
        <v>12345</v>
      </c>
      <c r="K466" t="s">
        <v>12</v>
      </c>
    </row>
    <row r="467" spans="1:11" ht="20.100000000000001" customHeight="1">
      <c r="A467" t="s">
        <v>13</v>
      </c>
      <c r="B467">
        <v>10000</v>
      </c>
      <c r="C467">
        <v>3</v>
      </c>
      <c r="D467">
        <v>23</v>
      </c>
      <c r="E467" s="2">
        <v>0.41820000000000002</v>
      </c>
      <c r="F467">
        <v>125439</v>
      </c>
      <c r="G467">
        <v>0</v>
      </c>
      <c r="H467">
        <v>0</v>
      </c>
      <c r="I467">
        <v>13</v>
      </c>
      <c r="J467">
        <v>12345</v>
      </c>
      <c r="K467" t="s">
        <v>12</v>
      </c>
    </row>
    <row r="468" spans="1:11" ht="20.100000000000001" customHeight="1">
      <c r="A468" t="s">
        <v>11</v>
      </c>
      <c r="B468">
        <v>10000</v>
      </c>
      <c r="C468">
        <v>3</v>
      </c>
      <c r="D468">
        <v>24</v>
      </c>
      <c r="E468" s="2">
        <v>8.2799999999999999E-2</v>
      </c>
      <c r="F468">
        <v>9999</v>
      </c>
      <c r="G468">
        <v>0</v>
      </c>
      <c r="H468">
        <v>9999</v>
      </c>
      <c r="I468">
        <v>0</v>
      </c>
      <c r="J468">
        <v>12345</v>
      </c>
      <c r="K468" t="s">
        <v>12</v>
      </c>
    </row>
    <row r="469" spans="1:11" ht="20.100000000000001" customHeight="1">
      <c r="A469" t="s">
        <v>13</v>
      </c>
      <c r="B469">
        <v>10000</v>
      </c>
      <c r="C469">
        <v>3</v>
      </c>
      <c r="D469">
        <v>24</v>
      </c>
      <c r="E469" s="2">
        <v>0.42149999999999999</v>
      </c>
      <c r="F469">
        <v>125439</v>
      </c>
      <c r="G469">
        <v>0</v>
      </c>
      <c r="H469">
        <v>0</v>
      </c>
      <c r="I469">
        <v>13</v>
      </c>
      <c r="J469">
        <v>12345</v>
      </c>
      <c r="K469" t="s">
        <v>12</v>
      </c>
    </row>
    <row r="470" spans="1:11" ht="20.100000000000001" customHeight="1">
      <c r="A470" t="s">
        <v>11</v>
      </c>
      <c r="B470">
        <v>10000</v>
      </c>
      <c r="C470">
        <v>3</v>
      </c>
      <c r="D470">
        <v>25</v>
      </c>
      <c r="E470" s="2">
        <v>8.3500000000000005E-2</v>
      </c>
      <c r="F470">
        <v>9999</v>
      </c>
      <c r="G470">
        <v>0</v>
      </c>
      <c r="H470">
        <v>9999</v>
      </c>
      <c r="I470">
        <v>0</v>
      </c>
      <c r="J470">
        <v>12345</v>
      </c>
      <c r="K470" t="s">
        <v>12</v>
      </c>
    </row>
    <row r="471" spans="1:11" ht="20.100000000000001" customHeight="1">
      <c r="A471" t="s">
        <v>13</v>
      </c>
      <c r="B471">
        <v>10000</v>
      </c>
      <c r="C471">
        <v>3</v>
      </c>
      <c r="D471">
        <v>25</v>
      </c>
      <c r="E471" s="2">
        <v>0.41839999999999999</v>
      </c>
      <c r="F471">
        <v>125439</v>
      </c>
      <c r="G471">
        <v>0</v>
      </c>
      <c r="H471">
        <v>0</v>
      </c>
      <c r="I471">
        <v>13</v>
      </c>
      <c r="J471">
        <v>12345</v>
      </c>
      <c r="K471" t="s">
        <v>12</v>
      </c>
    </row>
    <row r="472" spans="1:11" ht="20.100000000000001" customHeight="1">
      <c r="A472" t="s">
        <v>11</v>
      </c>
      <c r="B472">
        <v>10000</v>
      </c>
      <c r="C472">
        <v>3</v>
      </c>
      <c r="D472">
        <v>26</v>
      </c>
      <c r="E472" s="2">
        <v>8.3799999999999999E-2</v>
      </c>
      <c r="F472">
        <v>9999</v>
      </c>
      <c r="G472">
        <v>0</v>
      </c>
      <c r="H472">
        <v>9999</v>
      </c>
      <c r="I472">
        <v>0</v>
      </c>
      <c r="J472">
        <v>12345</v>
      </c>
      <c r="K472" t="s">
        <v>12</v>
      </c>
    </row>
    <row r="473" spans="1:11" ht="20.100000000000001" customHeight="1">
      <c r="A473" t="s">
        <v>13</v>
      </c>
      <c r="B473">
        <v>10000</v>
      </c>
      <c r="C473">
        <v>3</v>
      </c>
      <c r="D473">
        <v>26</v>
      </c>
      <c r="E473" s="2">
        <v>0.41860000000000003</v>
      </c>
      <c r="F473">
        <v>125439</v>
      </c>
      <c r="G473">
        <v>0</v>
      </c>
      <c r="H473">
        <v>0</v>
      </c>
      <c r="I473">
        <v>13</v>
      </c>
      <c r="J473">
        <v>12345</v>
      </c>
      <c r="K473" t="s">
        <v>12</v>
      </c>
    </row>
    <row r="474" spans="1:11" ht="20.100000000000001" customHeight="1">
      <c r="A474" t="s">
        <v>11</v>
      </c>
      <c r="B474">
        <v>10000</v>
      </c>
      <c r="C474">
        <v>3</v>
      </c>
      <c r="D474">
        <v>27</v>
      </c>
      <c r="E474" s="2">
        <v>8.3199999999999996E-2</v>
      </c>
      <c r="F474">
        <v>9999</v>
      </c>
      <c r="G474">
        <v>0</v>
      </c>
      <c r="H474">
        <v>9999</v>
      </c>
      <c r="I474">
        <v>0</v>
      </c>
      <c r="J474">
        <v>12345</v>
      </c>
      <c r="K474" t="s">
        <v>12</v>
      </c>
    </row>
    <row r="475" spans="1:11" ht="20.100000000000001" customHeight="1">
      <c r="A475" t="s">
        <v>13</v>
      </c>
      <c r="B475">
        <v>10000</v>
      </c>
      <c r="C475">
        <v>3</v>
      </c>
      <c r="D475">
        <v>27</v>
      </c>
      <c r="E475" s="2">
        <v>0.41920000000000002</v>
      </c>
      <c r="F475">
        <v>125439</v>
      </c>
      <c r="G475">
        <v>0</v>
      </c>
      <c r="H475">
        <v>0</v>
      </c>
      <c r="I475">
        <v>13</v>
      </c>
      <c r="J475">
        <v>12345</v>
      </c>
      <c r="K475" t="s">
        <v>12</v>
      </c>
    </row>
    <row r="476" spans="1:11" ht="20.100000000000001" customHeight="1">
      <c r="A476" t="s">
        <v>11</v>
      </c>
      <c r="B476">
        <v>10000</v>
      </c>
      <c r="C476">
        <v>3</v>
      </c>
      <c r="D476">
        <v>28</v>
      </c>
      <c r="E476" s="2">
        <v>8.2400000000000001E-2</v>
      </c>
      <c r="F476">
        <v>9999</v>
      </c>
      <c r="G476">
        <v>0</v>
      </c>
      <c r="H476">
        <v>9999</v>
      </c>
      <c r="I476">
        <v>0</v>
      </c>
      <c r="J476">
        <v>12345</v>
      </c>
      <c r="K476" t="s">
        <v>12</v>
      </c>
    </row>
    <row r="477" spans="1:11" ht="20.100000000000001" customHeight="1">
      <c r="A477" t="s">
        <v>13</v>
      </c>
      <c r="B477">
        <v>10000</v>
      </c>
      <c r="C477">
        <v>3</v>
      </c>
      <c r="D477">
        <v>28</v>
      </c>
      <c r="E477" s="2">
        <v>0.41860000000000003</v>
      </c>
      <c r="F477">
        <v>125439</v>
      </c>
      <c r="G477">
        <v>0</v>
      </c>
      <c r="H477">
        <v>0</v>
      </c>
      <c r="I477">
        <v>13</v>
      </c>
      <c r="J477">
        <v>12345</v>
      </c>
      <c r="K477" t="s">
        <v>12</v>
      </c>
    </row>
    <row r="478" spans="1:11" ht="20.100000000000001" customHeight="1">
      <c r="A478" t="s">
        <v>11</v>
      </c>
      <c r="B478">
        <v>10000</v>
      </c>
      <c r="C478">
        <v>3</v>
      </c>
      <c r="D478">
        <v>29</v>
      </c>
      <c r="E478" s="2">
        <v>8.3199999999999996E-2</v>
      </c>
      <c r="F478">
        <v>9999</v>
      </c>
      <c r="G478">
        <v>0</v>
      </c>
      <c r="H478">
        <v>9999</v>
      </c>
      <c r="I478">
        <v>0</v>
      </c>
      <c r="J478">
        <v>12345</v>
      </c>
      <c r="K478" t="s">
        <v>12</v>
      </c>
    </row>
    <row r="479" spans="1:11" ht="20.100000000000001" customHeight="1">
      <c r="A479" t="s">
        <v>13</v>
      </c>
      <c r="B479">
        <v>10000</v>
      </c>
      <c r="C479">
        <v>3</v>
      </c>
      <c r="D479">
        <v>29</v>
      </c>
      <c r="E479" s="2">
        <v>0.41889999999999999</v>
      </c>
      <c r="F479">
        <v>125439</v>
      </c>
      <c r="G479">
        <v>0</v>
      </c>
      <c r="H479">
        <v>0</v>
      </c>
      <c r="I479">
        <v>13</v>
      </c>
      <c r="J479">
        <v>12345</v>
      </c>
      <c r="K479" t="s">
        <v>12</v>
      </c>
    </row>
    <row r="480" spans="1:11" ht="20.100000000000001" customHeight="1">
      <c r="A480" t="s">
        <v>11</v>
      </c>
      <c r="B480">
        <v>10000</v>
      </c>
      <c r="C480">
        <v>3</v>
      </c>
      <c r="D480">
        <v>30</v>
      </c>
      <c r="E480" s="2">
        <v>8.3000000000000004E-2</v>
      </c>
      <c r="F480">
        <v>9999</v>
      </c>
      <c r="G480">
        <v>0</v>
      </c>
      <c r="H480">
        <v>9999</v>
      </c>
      <c r="I480">
        <v>0</v>
      </c>
      <c r="J480">
        <v>12345</v>
      </c>
      <c r="K480" t="s">
        <v>12</v>
      </c>
    </row>
    <row r="481" spans="1:11" ht="20.100000000000001" customHeight="1">
      <c r="A481" t="s">
        <v>13</v>
      </c>
      <c r="B481">
        <v>10000</v>
      </c>
      <c r="C481">
        <v>3</v>
      </c>
      <c r="D481">
        <v>30</v>
      </c>
      <c r="E481" s="2">
        <v>0.41849999999999998</v>
      </c>
      <c r="F481">
        <v>125439</v>
      </c>
      <c r="G481">
        <v>0</v>
      </c>
      <c r="H481">
        <v>0</v>
      </c>
      <c r="I481">
        <v>13</v>
      </c>
      <c r="J481">
        <v>12345</v>
      </c>
      <c r="K481" t="s">
        <v>12</v>
      </c>
    </row>
    <row r="482" spans="1:11" ht="20.100000000000001" customHeight="1">
      <c r="A482" t="s">
        <v>11</v>
      </c>
      <c r="B482">
        <v>10000</v>
      </c>
      <c r="C482">
        <v>4</v>
      </c>
      <c r="D482">
        <v>1</v>
      </c>
      <c r="E482" s="2">
        <v>166.73500000000001</v>
      </c>
      <c r="F482">
        <v>49995000</v>
      </c>
      <c r="G482">
        <v>0</v>
      </c>
      <c r="H482">
        <v>50004999</v>
      </c>
      <c r="I482">
        <v>0</v>
      </c>
      <c r="J482">
        <v>12345</v>
      </c>
      <c r="K482" t="s">
        <v>12</v>
      </c>
    </row>
    <row r="483" spans="1:11" ht="20.100000000000001" customHeight="1">
      <c r="A483" t="s">
        <v>13</v>
      </c>
      <c r="B483">
        <v>10000</v>
      </c>
      <c r="C483">
        <v>4</v>
      </c>
      <c r="D483">
        <v>1</v>
      </c>
      <c r="E483" s="2">
        <v>0.29189999999999999</v>
      </c>
      <c r="F483">
        <v>125452</v>
      </c>
      <c r="G483">
        <v>5000</v>
      </c>
      <c r="H483">
        <v>15000</v>
      </c>
      <c r="I483">
        <v>13</v>
      </c>
      <c r="J483">
        <v>12345</v>
      </c>
      <c r="K483" t="s">
        <v>12</v>
      </c>
    </row>
    <row r="484" spans="1:11" ht="20.100000000000001" customHeight="1">
      <c r="A484" t="s">
        <v>11</v>
      </c>
      <c r="B484">
        <v>10000</v>
      </c>
      <c r="C484">
        <v>4</v>
      </c>
      <c r="D484">
        <v>2</v>
      </c>
      <c r="E484" s="2">
        <v>154.88800000000001</v>
      </c>
      <c r="F484">
        <v>49995000</v>
      </c>
      <c r="G484">
        <v>0</v>
      </c>
      <c r="H484">
        <v>50004999</v>
      </c>
      <c r="I484">
        <v>0</v>
      </c>
      <c r="J484">
        <v>12345</v>
      </c>
      <c r="K484" t="s">
        <v>12</v>
      </c>
    </row>
    <row r="485" spans="1:11" ht="20.100000000000001" customHeight="1">
      <c r="A485" t="s">
        <v>13</v>
      </c>
      <c r="B485">
        <v>10000</v>
      </c>
      <c r="C485">
        <v>4</v>
      </c>
      <c r="D485">
        <v>2</v>
      </c>
      <c r="E485" s="2">
        <v>0.28270000000000001</v>
      </c>
      <c r="F485">
        <v>125452</v>
      </c>
      <c r="G485">
        <v>5000</v>
      </c>
      <c r="H485">
        <v>15000</v>
      </c>
      <c r="I485">
        <v>13</v>
      </c>
      <c r="J485">
        <v>12345</v>
      </c>
      <c r="K485" t="s">
        <v>12</v>
      </c>
    </row>
    <row r="486" spans="1:11" ht="20.100000000000001" customHeight="1">
      <c r="A486" t="s">
        <v>11</v>
      </c>
      <c r="B486">
        <v>10000</v>
      </c>
      <c r="C486">
        <v>4</v>
      </c>
      <c r="D486">
        <v>3</v>
      </c>
      <c r="E486" s="2">
        <v>172.499</v>
      </c>
      <c r="F486">
        <v>49995000</v>
      </c>
      <c r="G486">
        <v>0</v>
      </c>
      <c r="H486">
        <v>50004999</v>
      </c>
      <c r="I486">
        <v>0</v>
      </c>
      <c r="J486">
        <v>12345</v>
      </c>
      <c r="K486" t="s">
        <v>12</v>
      </c>
    </row>
    <row r="487" spans="1:11" ht="20.100000000000001" customHeight="1">
      <c r="A487" t="s">
        <v>13</v>
      </c>
      <c r="B487">
        <v>10000</v>
      </c>
      <c r="C487">
        <v>4</v>
      </c>
      <c r="D487">
        <v>3</v>
      </c>
      <c r="E487" s="2">
        <v>0.28270000000000001</v>
      </c>
      <c r="F487">
        <v>125452</v>
      </c>
      <c r="G487">
        <v>5000</v>
      </c>
      <c r="H487">
        <v>15000</v>
      </c>
      <c r="I487">
        <v>13</v>
      </c>
      <c r="J487">
        <v>12345</v>
      </c>
      <c r="K487" t="s">
        <v>12</v>
      </c>
    </row>
    <row r="488" spans="1:11" ht="20.100000000000001" customHeight="1">
      <c r="A488" t="s">
        <v>11</v>
      </c>
      <c r="B488">
        <v>10000</v>
      </c>
      <c r="C488">
        <v>4</v>
      </c>
      <c r="D488">
        <v>4</v>
      </c>
      <c r="E488" s="2">
        <v>153.274</v>
      </c>
      <c r="F488">
        <v>49995000</v>
      </c>
      <c r="G488">
        <v>0</v>
      </c>
      <c r="H488">
        <v>50004999</v>
      </c>
      <c r="I488">
        <v>0</v>
      </c>
      <c r="J488">
        <v>12345</v>
      </c>
      <c r="K488" t="s">
        <v>12</v>
      </c>
    </row>
    <row r="489" spans="1:11" ht="20.100000000000001" customHeight="1">
      <c r="A489" t="s">
        <v>13</v>
      </c>
      <c r="B489">
        <v>10000</v>
      </c>
      <c r="C489">
        <v>4</v>
      </c>
      <c r="D489">
        <v>4</v>
      </c>
      <c r="E489" s="2">
        <v>0.28920000000000001</v>
      </c>
      <c r="F489">
        <v>125452</v>
      </c>
      <c r="G489">
        <v>5000</v>
      </c>
      <c r="H489">
        <v>15000</v>
      </c>
      <c r="I489">
        <v>13</v>
      </c>
      <c r="J489">
        <v>12345</v>
      </c>
      <c r="K489" t="s">
        <v>12</v>
      </c>
    </row>
    <row r="490" spans="1:11" ht="20.100000000000001" customHeight="1">
      <c r="A490" t="s">
        <v>11</v>
      </c>
      <c r="B490">
        <v>10000</v>
      </c>
      <c r="C490">
        <v>4</v>
      </c>
      <c r="D490">
        <v>5</v>
      </c>
      <c r="E490" s="2">
        <v>153.26400000000001</v>
      </c>
      <c r="F490">
        <v>49995000</v>
      </c>
      <c r="G490">
        <v>0</v>
      </c>
      <c r="H490">
        <v>50004999</v>
      </c>
      <c r="I490">
        <v>0</v>
      </c>
      <c r="J490">
        <v>12345</v>
      </c>
      <c r="K490" t="s">
        <v>12</v>
      </c>
    </row>
    <row r="491" spans="1:11" ht="20.100000000000001" customHeight="1">
      <c r="A491" t="s">
        <v>13</v>
      </c>
      <c r="B491">
        <v>10000</v>
      </c>
      <c r="C491">
        <v>4</v>
      </c>
      <c r="D491">
        <v>5</v>
      </c>
      <c r="E491" s="2">
        <v>0.28249999999999997</v>
      </c>
      <c r="F491">
        <v>125452</v>
      </c>
      <c r="G491">
        <v>5000</v>
      </c>
      <c r="H491">
        <v>15000</v>
      </c>
      <c r="I491">
        <v>13</v>
      </c>
      <c r="J491">
        <v>12345</v>
      </c>
      <c r="K491" t="s">
        <v>12</v>
      </c>
    </row>
    <row r="492" spans="1:11" ht="20.100000000000001" customHeight="1">
      <c r="A492" t="s">
        <v>11</v>
      </c>
      <c r="B492">
        <v>10000</v>
      </c>
      <c r="C492">
        <v>4</v>
      </c>
      <c r="D492">
        <v>6</v>
      </c>
      <c r="E492" s="2">
        <v>156.006</v>
      </c>
      <c r="F492">
        <v>49995000</v>
      </c>
      <c r="G492">
        <v>0</v>
      </c>
      <c r="H492">
        <v>50004999</v>
      </c>
      <c r="I492">
        <v>0</v>
      </c>
      <c r="J492">
        <v>12345</v>
      </c>
      <c r="K492" t="s">
        <v>12</v>
      </c>
    </row>
    <row r="493" spans="1:11" ht="20.100000000000001" customHeight="1">
      <c r="A493" t="s">
        <v>13</v>
      </c>
      <c r="B493">
        <v>10000</v>
      </c>
      <c r="C493">
        <v>4</v>
      </c>
      <c r="D493">
        <v>6</v>
      </c>
      <c r="E493" s="2">
        <v>0.4264</v>
      </c>
      <c r="F493">
        <v>125452</v>
      </c>
      <c r="G493">
        <v>5000</v>
      </c>
      <c r="H493">
        <v>15000</v>
      </c>
      <c r="I493">
        <v>13</v>
      </c>
      <c r="J493">
        <v>12345</v>
      </c>
      <c r="K493" t="s">
        <v>12</v>
      </c>
    </row>
    <row r="494" spans="1:11" ht="20.100000000000001" customHeight="1">
      <c r="A494" t="s">
        <v>11</v>
      </c>
      <c r="B494">
        <v>10000</v>
      </c>
      <c r="C494">
        <v>4</v>
      </c>
      <c r="D494">
        <v>7</v>
      </c>
      <c r="E494" s="2">
        <v>171.96700000000001</v>
      </c>
      <c r="F494">
        <v>49995000</v>
      </c>
      <c r="G494">
        <v>0</v>
      </c>
      <c r="H494">
        <v>50004999</v>
      </c>
      <c r="I494">
        <v>0</v>
      </c>
      <c r="J494">
        <v>12345</v>
      </c>
      <c r="K494" t="s">
        <v>12</v>
      </c>
    </row>
    <row r="495" spans="1:11" ht="20.100000000000001" customHeight="1">
      <c r="A495" t="s">
        <v>13</v>
      </c>
      <c r="B495">
        <v>10000</v>
      </c>
      <c r="C495">
        <v>4</v>
      </c>
      <c r="D495">
        <v>7</v>
      </c>
      <c r="E495" s="2">
        <v>0.28499999999999998</v>
      </c>
      <c r="F495">
        <v>125452</v>
      </c>
      <c r="G495">
        <v>5000</v>
      </c>
      <c r="H495">
        <v>15000</v>
      </c>
      <c r="I495">
        <v>13</v>
      </c>
      <c r="J495">
        <v>12345</v>
      </c>
      <c r="K495" t="s">
        <v>12</v>
      </c>
    </row>
    <row r="496" spans="1:11" ht="20.100000000000001" customHeight="1">
      <c r="A496" t="s">
        <v>11</v>
      </c>
      <c r="B496">
        <v>10000</v>
      </c>
      <c r="C496">
        <v>4</v>
      </c>
      <c r="D496">
        <v>8</v>
      </c>
      <c r="E496" s="2">
        <v>153.82499999999999</v>
      </c>
      <c r="F496">
        <v>49995000</v>
      </c>
      <c r="G496">
        <v>0</v>
      </c>
      <c r="H496">
        <v>50004999</v>
      </c>
      <c r="I496">
        <v>0</v>
      </c>
      <c r="J496">
        <v>12345</v>
      </c>
      <c r="K496" t="s">
        <v>12</v>
      </c>
    </row>
    <row r="497" spans="1:11" ht="20.100000000000001" customHeight="1">
      <c r="A497" t="s">
        <v>13</v>
      </c>
      <c r="B497">
        <v>10000</v>
      </c>
      <c r="C497">
        <v>4</v>
      </c>
      <c r="D497">
        <v>8</v>
      </c>
      <c r="E497" s="2">
        <v>0.28370000000000001</v>
      </c>
      <c r="F497">
        <v>125452</v>
      </c>
      <c r="G497">
        <v>5000</v>
      </c>
      <c r="H497">
        <v>15000</v>
      </c>
      <c r="I497">
        <v>13</v>
      </c>
      <c r="J497">
        <v>12345</v>
      </c>
      <c r="K497" t="s">
        <v>12</v>
      </c>
    </row>
    <row r="498" spans="1:11" ht="20.100000000000001" customHeight="1">
      <c r="A498" t="s">
        <v>11</v>
      </c>
      <c r="B498">
        <v>10000</v>
      </c>
      <c r="C498">
        <v>4</v>
      </c>
      <c r="D498">
        <v>9</v>
      </c>
      <c r="E498" s="2">
        <v>153.358</v>
      </c>
      <c r="F498">
        <v>49995000</v>
      </c>
      <c r="G498">
        <v>0</v>
      </c>
      <c r="H498">
        <v>50004999</v>
      </c>
      <c r="I498">
        <v>0</v>
      </c>
      <c r="J498">
        <v>12345</v>
      </c>
      <c r="K498" t="s">
        <v>12</v>
      </c>
    </row>
    <row r="499" spans="1:11" ht="20.100000000000001" customHeight="1">
      <c r="A499" t="s">
        <v>13</v>
      </c>
      <c r="B499">
        <v>10000</v>
      </c>
      <c r="C499">
        <v>4</v>
      </c>
      <c r="D499">
        <v>9</v>
      </c>
      <c r="E499" s="2">
        <v>0.28210000000000002</v>
      </c>
      <c r="F499">
        <v>125452</v>
      </c>
      <c r="G499">
        <v>5000</v>
      </c>
      <c r="H499">
        <v>15000</v>
      </c>
      <c r="I499">
        <v>13</v>
      </c>
      <c r="J499">
        <v>12345</v>
      </c>
      <c r="K499" t="s">
        <v>12</v>
      </c>
    </row>
    <row r="500" spans="1:11" ht="20.100000000000001" customHeight="1">
      <c r="A500" t="s">
        <v>11</v>
      </c>
      <c r="B500">
        <v>10000</v>
      </c>
      <c r="C500">
        <v>4</v>
      </c>
      <c r="D500">
        <v>10</v>
      </c>
      <c r="E500" s="2">
        <v>154.55600000000001</v>
      </c>
      <c r="F500">
        <v>49995000</v>
      </c>
      <c r="G500">
        <v>0</v>
      </c>
      <c r="H500">
        <v>50004999</v>
      </c>
      <c r="I500">
        <v>0</v>
      </c>
      <c r="J500">
        <v>12345</v>
      </c>
      <c r="K500" t="s">
        <v>12</v>
      </c>
    </row>
    <row r="501" spans="1:11" ht="20.100000000000001" customHeight="1">
      <c r="A501" t="s">
        <v>13</v>
      </c>
      <c r="B501">
        <v>10000</v>
      </c>
      <c r="C501">
        <v>4</v>
      </c>
      <c r="D501">
        <v>10</v>
      </c>
      <c r="E501" s="2">
        <v>0.28249999999999997</v>
      </c>
      <c r="F501">
        <v>125452</v>
      </c>
      <c r="G501">
        <v>5000</v>
      </c>
      <c r="H501">
        <v>15000</v>
      </c>
      <c r="I501">
        <v>13</v>
      </c>
      <c r="J501">
        <v>12345</v>
      </c>
      <c r="K501" t="s">
        <v>12</v>
      </c>
    </row>
    <row r="502" spans="1:11" ht="20.100000000000001" customHeight="1">
      <c r="A502" t="s">
        <v>11</v>
      </c>
      <c r="B502">
        <v>10000</v>
      </c>
      <c r="C502">
        <v>4</v>
      </c>
      <c r="D502">
        <v>11</v>
      </c>
      <c r="E502" s="2">
        <v>154.077</v>
      </c>
      <c r="F502">
        <v>49995000</v>
      </c>
      <c r="G502">
        <v>0</v>
      </c>
      <c r="H502">
        <v>50004999</v>
      </c>
      <c r="I502">
        <v>0</v>
      </c>
      <c r="J502">
        <v>12345</v>
      </c>
      <c r="K502" t="s">
        <v>12</v>
      </c>
    </row>
    <row r="503" spans="1:11" ht="20.100000000000001" customHeight="1">
      <c r="A503" t="s">
        <v>13</v>
      </c>
      <c r="B503">
        <v>10000</v>
      </c>
      <c r="C503">
        <v>4</v>
      </c>
      <c r="D503">
        <v>11</v>
      </c>
      <c r="E503" s="2">
        <v>0.2838</v>
      </c>
      <c r="F503">
        <v>125452</v>
      </c>
      <c r="G503">
        <v>5000</v>
      </c>
      <c r="H503">
        <v>15000</v>
      </c>
      <c r="I503">
        <v>13</v>
      </c>
      <c r="J503">
        <v>12345</v>
      </c>
      <c r="K503" t="s">
        <v>12</v>
      </c>
    </row>
    <row r="504" spans="1:11" ht="20.100000000000001" customHeight="1">
      <c r="A504" t="s">
        <v>11</v>
      </c>
      <c r="B504">
        <v>10000</v>
      </c>
      <c r="C504">
        <v>4</v>
      </c>
      <c r="D504">
        <v>12</v>
      </c>
      <c r="E504" s="2">
        <v>153.84</v>
      </c>
      <c r="F504">
        <v>49995000</v>
      </c>
      <c r="G504">
        <v>0</v>
      </c>
      <c r="H504">
        <v>50004999</v>
      </c>
      <c r="I504">
        <v>0</v>
      </c>
      <c r="J504">
        <v>12345</v>
      </c>
      <c r="K504" t="s">
        <v>12</v>
      </c>
    </row>
    <row r="505" spans="1:11" ht="20.100000000000001" customHeight="1">
      <c r="A505" t="s">
        <v>13</v>
      </c>
      <c r="B505">
        <v>10000</v>
      </c>
      <c r="C505">
        <v>4</v>
      </c>
      <c r="D505">
        <v>12</v>
      </c>
      <c r="E505" s="2">
        <v>0.28179999999999999</v>
      </c>
      <c r="F505">
        <v>125452</v>
      </c>
      <c r="G505">
        <v>5000</v>
      </c>
      <c r="H505">
        <v>15000</v>
      </c>
      <c r="I505">
        <v>13</v>
      </c>
      <c r="J505">
        <v>12345</v>
      </c>
      <c r="K505" t="s">
        <v>12</v>
      </c>
    </row>
    <row r="506" spans="1:11" ht="20.100000000000001" customHeight="1">
      <c r="A506" t="s">
        <v>11</v>
      </c>
      <c r="B506">
        <v>10000</v>
      </c>
      <c r="C506">
        <v>4</v>
      </c>
      <c r="D506">
        <v>13</v>
      </c>
      <c r="E506" s="2">
        <v>170.136</v>
      </c>
      <c r="F506">
        <v>49995000</v>
      </c>
      <c r="G506">
        <v>0</v>
      </c>
      <c r="H506">
        <v>50004999</v>
      </c>
      <c r="I506">
        <v>0</v>
      </c>
      <c r="J506">
        <v>12345</v>
      </c>
      <c r="K506" t="s">
        <v>12</v>
      </c>
    </row>
    <row r="507" spans="1:11" ht="20.100000000000001" customHeight="1">
      <c r="A507" t="s">
        <v>13</v>
      </c>
      <c r="B507">
        <v>10000</v>
      </c>
      <c r="C507">
        <v>4</v>
      </c>
      <c r="D507">
        <v>13</v>
      </c>
      <c r="E507" s="2">
        <v>0.27939999999999998</v>
      </c>
      <c r="F507">
        <v>125452</v>
      </c>
      <c r="G507">
        <v>5000</v>
      </c>
      <c r="H507">
        <v>15000</v>
      </c>
      <c r="I507">
        <v>13</v>
      </c>
      <c r="J507">
        <v>12345</v>
      </c>
      <c r="K507" t="s">
        <v>12</v>
      </c>
    </row>
    <row r="508" spans="1:11" ht="20.100000000000001" customHeight="1">
      <c r="A508" t="s">
        <v>11</v>
      </c>
      <c r="B508">
        <v>10000</v>
      </c>
      <c r="C508">
        <v>4</v>
      </c>
      <c r="D508">
        <v>14</v>
      </c>
      <c r="E508" s="2">
        <v>153.304</v>
      </c>
      <c r="F508">
        <v>49995000</v>
      </c>
      <c r="G508">
        <v>0</v>
      </c>
      <c r="H508">
        <v>50004999</v>
      </c>
      <c r="I508">
        <v>0</v>
      </c>
      <c r="J508">
        <v>12345</v>
      </c>
      <c r="K508" t="s">
        <v>12</v>
      </c>
    </row>
    <row r="509" spans="1:11" ht="20.100000000000001" customHeight="1">
      <c r="A509" t="s">
        <v>13</v>
      </c>
      <c r="B509">
        <v>10000</v>
      </c>
      <c r="C509">
        <v>4</v>
      </c>
      <c r="D509">
        <v>14</v>
      </c>
      <c r="E509" s="2">
        <v>0.2823</v>
      </c>
      <c r="F509">
        <v>125452</v>
      </c>
      <c r="G509">
        <v>5000</v>
      </c>
      <c r="H509">
        <v>15000</v>
      </c>
      <c r="I509">
        <v>13</v>
      </c>
      <c r="J509">
        <v>12345</v>
      </c>
      <c r="K509" t="s">
        <v>12</v>
      </c>
    </row>
    <row r="510" spans="1:11" ht="20.100000000000001" customHeight="1">
      <c r="A510" t="s">
        <v>11</v>
      </c>
      <c r="B510">
        <v>10000</v>
      </c>
      <c r="C510">
        <v>4</v>
      </c>
      <c r="D510">
        <v>15</v>
      </c>
      <c r="E510" s="2">
        <v>153.42500000000001</v>
      </c>
      <c r="F510">
        <v>49995000</v>
      </c>
      <c r="G510">
        <v>0</v>
      </c>
      <c r="H510">
        <v>50004999</v>
      </c>
      <c r="I510">
        <v>0</v>
      </c>
      <c r="J510">
        <v>12345</v>
      </c>
      <c r="K510" t="s">
        <v>12</v>
      </c>
    </row>
    <row r="511" spans="1:11" ht="20.100000000000001" customHeight="1">
      <c r="A511" t="s">
        <v>13</v>
      </c>
      <c r="B511">
        <v>10000</v>
      </c>
      <c r="C511">
        <v>4</v>
      </c>
      <c r="D511">
        <v>15</v>
      </c>
      <c r="E511" s="2">
        <v>0.28939999999999999</v>
      </c>
      <c r="F511">
        <v>125452</v>
      </c>
      <c r="G511">
        <v>5000</v>
      </c>
      <c r="H511">
        <v>15000</v>
      </c>
      <c r="I511">
        <v>13</v>
      </c>
      <c r="J511">
        <v>12345</v>
      </c>
      <c r="K511" t="s">
        <v>12</v>
      </c>
    </row>
    <row r="512" spans="1:11" ht="20.100000000000001" customHeight="1">
      <c r="A512" t="s">
        <v>11</v>
      </c>
      <c r="B512">
        <v>10000</v>
      </c>
      <c r="C512">
        <v>4</v>
      </c>
      <c r="D512">
        <v>16</v>
      </c>
      <c r="E512" s="2">
        <v>154.09100000000001</v>
      </c>
      <c r="F512">
        <v>49995000</v>
      </c>
      <c r="G512">
        <v>0</v>
      </c>
      <c r="H512">
        <v>50004999</v>
      </c>
      <c r="I512">
        <v>0</v>
      </c>
      <c r="J512">
        <v>12345</v>
      </c>
      <c r="K512" t="s">
        <v>12</v>
      </c>
    </row>
    <row r="513" spans="1:11" ht="20.100000000000001" customHeight="1">
      <c r="A513" t="s">
        <v>13</v>
      </c>
      <c r="B513">
        <v>10000</v>
      </c>
      <c r="C513">
        <v>4</v>
      </c>
      <c r="D513">
        <v>16</v>
      </c>
      <c r="E513" s="2">
        <v>0.2873</v>
      </c>
      <c r="F513">
        <v>125452</v>
      </c>
      <c r="G513">
        <v>5000</v>
      </c>
      <c r="H513">
        <v>15000</v>
      </c>
      <c r="I513">
        <v>13</v>
      </c>
      <c r="J513">
        <v>12345</v>
      </c>
      <c r="K513" t="s">
        <v>12</v>
      </c>
    </row>
    <row r="514" spans="1:11" ht="20.100000000000001" customHeight="1">
      <c r="A514" t="s">
        <v>11</v>
      </c>
      <c r="B514">
        <v>10000</v>
      </c>
      <c r="C514">
        <v>4</v>
      </c>
      <c r="D514">
        <v>17</v>
      </c>
      <c r="E514" s="2">
        <v>153.15799999999999</v>
      </c>
      <c r="F514">
        <v>49995000</v>
      </c>
      <c r="G514">
        <v>0</v>
      </c>
      <c r="H514">
        <v>50004999</v>
      </c>
      <c r="I514">
        <v>0</v>
      </c>
      <c r="J514">
        <v>12345</v>
      </c>
      <c r="K514" t="s">
        <v>12</v>
      </c>
    </row>
    <row r="515" spans="1:11" ht="20.100000000000001" customHeight="1">
      <c r="A515" t="s">
        <v>13</v>
      </c>
      <c r="B515">
        <v>10000</v>
      </c>
      <c r="C515">
        <v>4</v>
      </c>
      <c r="D515">
        <v>17</v>
      </c>
      <c r="E515" s="2">
        <v>0.28239999999999998</v>
      </c>
      <c r="F515">
        <v>125452</v>
      </c>
      <c r="G515">
        <v>5000</v>
      </c>
      <c r="H515">
        <v>15000</v>
      </c>
      <c r="I515">
        <v>13</v>
      </c>
      <c r="J515">
        <v>12345</v>
      </c>
      <c r="K515" t="s">
        <v>12</v>
      </c>
    </row>
    <row r="516" spans="1:11" ht="20.100000000000001" customHeight="1">
      <c r="A516" t="s">
        <v>11</v>
      </c>
      <c r="B516">
        <v>10000</v>
      </c>
      <c r="C516">
        <v>4</v>
      </c>
      <c r="D516">
        <v>18</v>
      </c>
      <c r="E516" s="2">
        <v>155.203</v>
      </c>
      <c r="F516">
        <v>49995000</v>
      </c>
      <c r="G516">
        <v>0</v>
      </c>
      <c r="H516">
        <v>50004999</v>
      </c>
      <c r="I516">
        <v>0</v>
      </c>
      <c r="J516">
        <v>12345</v>
      </c>
      <c r="K516" t="s">
        <v>12</v>
      </c>
    </row>
    <row r="517" spans="1:11" ht="20.100000000000001" customHeight="1">
      <c r="A517" t="s">
        <v>13</v>
      </c>
      <c r="B517">
        <v>10000</v>
      </c>
      <c r="C517">
        <v>4</v>
      </c>
      <c r="D517">
        <v>18</v>
      </c>
      <c r="E517" s="2">
        <v>0.28360000000000002</v>
      </c>
      <c r="F517">
        <v>125452</v>
      </c>
      <c r="G517">
        <v>5000</v>
      </c>
      <c r="H517">
        <v>15000</v>
      </c>
      <c r="I517">
        <v>13</v>
      </c>
      <c r="J517">
        <v>12345</v>
      </c>
      <c r="K517" t="s">
        <v>12</v>
      </c>
    </row>
    <row r="518" spans="1:11" ht="20.100000000000001" customHeight="1">
      <c r="A518" t="s">
        <v>11</v>
      </c>
      <c r="B518">
        <v>10000</v>
      </c>
      <c r="C518">
        <v>4</v>
      </c>
      <c r="D518">
        <v>19</v>
      </c>
      <c r="E518" s="2">
        <v>152.60599999999999</v>
      </c>
      <c r="F518">
        <v>49995000</v>
      </c>
      <c r="G518">
        <v>0</v>
      </c>
      <c r="H518">
        <v>50004999</v>
      </c>
      <c r="I518">
        <v>0</v>
      </c>
      <c r="J518">
        <v>12345</v>
      </c>
      <c r="K518" t="s">
        <v>12</v>
      </c>
    </row>
    <row r="519" spans="1:11" ht="20.100000000000001" customHeight="1">
      <c r="A519" t="s">
        <v>13</v>
      </c>
      <c r="B519">
        <v>10000</v>
      </c>
      <c r="C519">
        <v>4</v>
      </c>
      <c r="D519">
        <v>19</v>
      </c>
      <c r="E519" s="2">
        <v>0.28029999999999999</v>
      </c>
      <c r="F519">
        <v>125452</v>
      </c>
      <c r="G519">
        <v>5000</v>
      </c>
      <c r="H519">
        <v>15000</v>
      </c>
      <c r="I519">
        <v>13</v>
      </c>
      <c r="J519">
        <v>12345</v>
      </c>
      <c r="K519" t="s">
        <v>12</v>
      </c>
    </row>
    <row r="520" spans="1:11" ht="20.100000000000001" customHeight="1">
      <c r="A520" t="s">
        <v>11</v>
      </c>
      <c r="B520">
        <v>10000</v>
      </c>
      <c r="C520">
        <v>4</v>
      </c>
      <c r="D520">
        <v>20</v>
      </c>
      <c r="E520" s="2">
        <v>152.26499999999999</v>
      </c>
      <c r="F520">
        <v>49995000</v>
      </c>
      <c r="G520">
        <v>0</v>
      </c>
      <c r="H520">
        <v>50004999</v>
      </c>
      <c r="I520">
        <v>0</v>
      </c>
      <c r="J520">
        <v>12345</v>
      </c>
      <c r="K520" t="s">
        <v>12</v>
      </c>
    </row>
    <row r="521" spans="1:11" ht="20.100000000000001" customHeight="1">
      <c r="A521" t="s">
        <v>13</v>
      </c>
      <c r="B521">
        <v>10000</v>
      </c>
      <c r="C521">
        <v>4</v>
      </c>
      <c r="D521">
        <v>20</v>
      </c>
      <c r="E521" s="2">
        <v>0.27879999999999999</v>
      </c>
      <c r="F521">
        <v>125452</v>
      </c>
      <c r="G521">
        <v>5000</v>
      </c>
      <c r="H521">
        <v>15000</v>
      </c>
      <c r="I521">
        <v>13</v>
      </c>
      <c r="J521">
        <v>12345</v>
      </c>
      <c r="K521" t="s">
        <v>12</v>
      </c>
    </row>
    <row r="522" spans="1:11" ht="20.100000000000001" customHeight="1">
      <c r="A522" t="s">
        <v>11</v>
      </c>
      <c r="B522">
        <v>10000</v>
      </c>
      <c r="C522">
        <v>4</v>
      </c>
      <c r="D522">
        <v>21</v>
      </c>
      <c r="E522" s="2">
        <v>152.38200000000001</v>
      </c>
      <c r="F522">
        <v>49995000</v>
      </c>
      <c r="G522">
        <v>0</v>
      </c>
      <c r="H522">
        <v>50004999</v>
      </c>
      <c r="I522">
        <v>0</v>
      </c>
      <c r="J522">
        <v>12345</v>
      </c>
      <c r="K522" t="s">
        <v>12</v>
      </c>
    </row>
    <row r="523" spans="1:11" ht="20.100000000000001" customHeight="1">
      <c r="A523" t="s">
        <v>13</v>
      </c>
      <c r="B523">
        <v>10000</v>
      </c>
      <c r="C523">
        <v>4</v>
      </c>
      <c r="D523">
        <v>21</v>
      </c>
      <c r="E523" s="2">
        <v>0.28189999999999998</v>
      </c>
      <c r="F523">
        <v>125452</v>
      </c>
      <c r="G523">
        <v>5000</v>
      </c>
      <c r="H523">
        <v>15000</v>
      </c>
      <c r="I523">
        <v>13</v>
      </c>
      <c r="J523">
        <v>12345</v>
      </c>
      <c r="K523" t="s">
        <v>12</v>
      </c>
    </row>
    <row r="524" spans="1:11" ht="20.100000000000001" customHeight="1">
      <c r="A524" t="s">
        <v>11</v>
      </c>
      <c r="B524">
        <v>10000</v>
      </c>
      <c r="C524">
        <v>4</v>
      </c>
      <c r="D524">
        <v>22</v>
      </c>
      <c r="E524" s="2">
        <v>152.173</v>
      </c>
      <c r="F524">
        <v>49995000</v>
      </c>
      <c r="G524">
        <v>0</v>
      </c>
      <c r="H524">
        <v>50004999</v>
      </c>
      <c r="I524">
        <v>0</v>
      </c>
      <c r="J524">
        <v>12345</v>
      </c>
      <c r="K524" t="s">
        <v>12</v>
      </c>
    </row>
    <row r="525" spans="1:11" ht="20.100000000000001" customHeight="1">
      <c r="A525" t="s">
        <v>13</v>
      </c>
      <c r="B525">
        <v>10000</v>
      </c>
      <c r="C525">
        <v>4</v>
      </c>
      <c r="D525">
        <v>22</v>
      </c>
      <c r="E525" s="2">
        <v>0.28060000000000002</v>
      </c>
      <c r="F525">
        <v>125452</v>
      </c>
      <c r="G525">
        <v>5000</v>
      </c>
      <c r="H525">
        <v>15000</v>
      </c>
      <c r="I525">
        <v>13</v>
      </c>
      <c r="J525">
        <v>12345</v>
      </c>
      <c r="K525" t="s">
        <v>12</v>
      </c>
    </row>
    <row r="526" spans="1:11" ht="20.100000000000001" customHeight="1">
      <c r="A526" t="s">
        <v>11</v>
      </c>
      <c r="B526">
        <v>10000</v>
      </c>
      <c r="C526">
        <v>4</v>
      </c>
      <c r="D526">
        <v>23</v>
      </c>
      <c r="E526" s="2">
        <v>155.381</v>
      </c>
      <c r="F526">
        <v>49995000</v>
      </c>
      <c r="G526">
        <v>0</v>
      </c>
      <c r="H526">
        <v>50004999</v>
      </c>
      <c r="I526">
        <v>0</v>
      </c>
      <c r="J526">
        <v>12345</v>
      </c>
      <c r="K526" t="s">
        <v>12</v>
      </c>
    </row>
    <row r="527" spans="1:11" ht="20.100000000000001" customHeight="1">
      <c r="A527" t="s">
        <v>13</v>
      </c>
      <c r="B527">
        <v>10000</v>
      </c>
      <c r="C527">
        <v>4</v>
      </c>
      <c r="D527">
        <v>23</v>
      </c>
      <c r="E527" s="2">
        <v>0.32750000000000001</v>
      </c>
      <c r="F527">
        <v>125452</v>
      </c>
      <c r="G527">
        <v>5000</v>
      </c>
      <c r="H527">
        <v>15000</v>
      </c>
      <c r="I527">
        <v>13</v>
      </c>
      <c r="J527">
        <v>12345</v>
      </c>
      <c r="K527" t="s">
        <v>12</v>
      </c>
    </row>
    <row r="528" spans="1:11" ht="20.100000000000001" customHeight="1">
      <c r="A528" t="s">
        <v>11</v>
      </c>
      <c r="B528">
        <v>10000</v>
      </c>
      <c r="C528">
        <v>4</v>
      </c>
      <c r="D528">
        <v>24</v>
      </c>
      <c r="E528" s="2">
        <v>185.66300000000001</v>
      </c>
      <c r="F528">
        <v>49995000</v>
      </c>
      <c r="G528">
        <v>0</v>
      </c>
      <c r="H528">
        <v>50004999</v>
      </c>
      <c r="I528">
        <v>0</v>
      </c>
      <c r="J528">
        <v>12345</v>
      </c>
      <c r="K528" t="s">
        <v>12</v>
      </c>
    </row>
    <row r="529" spans="1:11" ht="20.100000000000001" customHeight="1">
      <c r="A529" t="s">
        <v>13</v>
      </c>
      <c r="B529">
        <v>10000</v>
      </c>
      <c r="C529">
        <v>4</v>
      </c>
      <c r="D529">
        <v>24</v>
      </c>
      <c r="E529" s="2">
        <v>0.28370000000000001</v>
      </c>
      <c r="F529">
        <v>125452</v>
      </c>
      <c r="G529">
        <v>5000</v>
      </c>
      <c r="H529">
        <v>15000</v>
      </c>
      <c r="I529">
        <v>13</v>
      </c>
      <c r="J529">
        <v>12345</v>
      </c>
      <c r="K529" t="s">
        <v>12</v>
      </c>
    </row>
    <row r="530" spans="1:11" ht="20.100000000000001" customHeight="1">
      <c r="A530" t="s">
        <v>11</v>
      </c>
      <c r="B530">
        <v>10000</v>
      </c>
      <c r="C530">
        <v>4</v>
      </c>
      <c r="D530">
        <v>25</v>
      </c>
      <c r="E530" s="2">
        <v>152.614</v>
      </c>
      <c r="F530">
        <v>49995000</v>
      </c>
      <c r="G530">
        <v>0</v>
      </c>
      <c r="H530">
        <v>50004999</v>
      </c>
      <c r="I530">
        <v>0</v>
      </c>
      <c r="J530">
        <v>12345</v>
      </c>
      <c r="K530" t="s">
        <v>12</v>
      </c>
    </row>
    <row r="531" spans="1:11" ht="20.100000000000001" customHeight="1">
      <c r="A531" t="s">
        <v>13</v>
      </c>
      <c r="B531">
        <v>10000</v>
      </c>
      <c r="C531">
        <v>4</v>
      </c>
      <c r="D531">
        <v>25</v>
      </c>
      <c r="E531" s="2">
        <v>0.28060000000000002</v>
      </c>
      <c r="F531">
        <v>125452</v>
      </c>
      <c r="G531">
        <v>5000</v>
      </c>
      <c r="H531">
        <v>15000</v>
      </c>
      <c r="I531">
        <v>13</v>
      </c>
      <c r="J531">
        <v>12345</v>
      </c>
      <c r="K531" t="s">
        <v>12</v>
      </c>
    </row>
    <row r="532" spans="1:11" ht="20.100000000000001" customHeight="1">
      <c r="A532" t="s">
        <v>11</v>
      </c>
      <c r="B532">
        <v>10000</v>
      </c>
      <c r="C532">
        <v>4</v>
      </c>
      <c r="D532">
        <v>26</v>
      </c>
      <c r="E532" s="2">
        <v>176.571</v>
      </c>
      <c r="F532">
        <v>49995000</v>
      </c>
      <c r="G532">
        <v>0</v>
      </c>
      <c r="H532">
        <v>50004999</v>
      </c>
      <c r="I532">
        <v>0</v>
      </c>
      <c r="J532">
        <v>12345</v>
      </c>
      <c r="K532" t="s">
        <v>12</v>
      </c>
    </row>
    <row r="533" spans="1:11" ht="20.100000000000001" customHeight="1">
      <c r="A533" t="s">
        <v>13</v>
      </c>
      <c r="B533">
        <v>10000</v>
      </c>
      <c r="C533">
        <v>4</v>
      </c>
      <c r="D533">
        <v>26</v>
      </c>
      <c r="E533" s="2">
        <v>0.28449999999999998</v>
      </c>
      <c r="F533">
        <v>125452</v>
      </c>
      <c r="G533">
        <v>5000</v>
      </c>
      <c r="H533">
        <v>15000</v>
      </c>
      <c r="I533">
        <v>13</v>
      </c>
      <c r="J533">
        <v>12345</v>
      </c>
      <c r="K533" t="s">
        <v>12</v>
      </c>
    </row>
    <row r="534" spans="1:11" ht="20.100000000000001" customHeight="1">
      <c r="A534" t="s">
        <v>11</v>
      </c>
      <c r="B534">
        <v>10000</v>
      </c>
      <c r="C534">
        <v>4</v>
      </c>
      <c r="D534">
        <v>27</v>
      </c>
      <c r="E534" s="2">
        <v>180.50800000000001</v>
      </c>
      <c r="F534">
        <v>49995000</v>
      </c>
      <c r="G534">
        <v>0</v>
      </c>
      <c r="H534">
        <v>50004999</v>
      </c>
      <c r="I534">
        <v>0</v>
      </c>
      <c r="J534">
        <v>12345</v>
      </c>
      <c r="K534" t="s">
        <v>12</v>
      </c>
    </row>
    <row r="535" spans="1:11" ht="20.100000000000001" customHeight="1">
      <c r="A535" t="s">
        <v>13</v>
      </c>
      <c r="B535">
        <v>10000</v>
      </c>
      <c r="C535">
        <v>4</v>
      </c>
      <c r="D535">
        <v>27</v>
      </c>
      <c r="E535" s="2">
        <v>0.30730000000000002</v>
      </c>
      <c r="F535">
        <v>125452</v>
      </c>
      <c r="G535">
        <v>5000</v>
      </c>
      <c r="H535">
        <v>15000</v>
      </c>
      <c r="I535">
        <v>13</v>
      </c>
      <c r="J535">
        <v>12345</v>
      </c>
      <c r="K535" t="s">
        <v>12</v>
      </c>
    </row>
    <row r="536" spans="1:11" ht="20.100000000000001" customHeight="1">
      <c r="A536" t="s">
        <v>11</v>
      </c>
      <c r="B536">
        <v>10000</v>
      </c>
      <c r="C536">
        <v>4</v>
      </c>
      <c r="D536">
        <v>28</v>
      </c>
      <c r="E536" s="2">
        <v>170.67099999999999</v>
      </c>
      <c r="F536">
        <v>49995000</v>
      </c>
      <c r="G536">
        <v>0</v>
      </c>
      <c r="H536">
        <v>50004999</v>
      </c>
      <c r="I536">
        <v>0</v>
      </c>
      <c r="J536">
        <v>12345</v>
      </c>
      <c r="K536" t="s">
        <v>12</v>
      </c>
    </row>
    <row r="537" spans="1:11" ht="20.100000000000001" customHeight="1">
      <c r="A537" t="s">
        <v>13</v>
      </c>
      <c r="B537">
        <v>10000</v>
      </c>
      <c r="C537">
        <v>4</v>
      </c>
      <c r="D537">
        <v>28</v>
      </c>
      <c r="E537" s="2">
        <v>0.28939999999999999</v>
      </c>
      <c r="F537">
        <v>125452</v>
      </c>
      <c r="G537">
        <v>5000</v>
      </c>
      <c r="H537">
        <v>15000</v>
      </c>
      <c r="I537">
        <v>13</v>
      </c>
      <c r="J537">
        <v>12345</v>
      </c>
      <c r="K537" t="s">
        <v>12</v>
      </c>
    </row>
    <row r="538" spans="1:11" ht="20.100000000000001" customHeight="1">
      <c r="A538" t="s">
        <v>11</v>
      </c>
      <c r="B538">
        <v>10000</v>
      </c>
      <c r="C538">
        <v>4</v>
      </c>
      <c r="D538">
        <v>29</v>
      </c>
      <c r="E538" s="2">
        <v>188.54</v>
      </c>
      <c r="F538">
        <v>49995000</v>
      </c>
      <c r="G538">
        <v>0</v>
      </c>
      <c r="H538">
        <v>50004999</v>
      </c>
      <c r="I538">
        <v>0</v>
      </c>
      <c r="J538">
        <v>12345</v>
      </c>
      <c r="K538" t="s">
        <v>12</v>
      </c>
    </row>
    <row r="539" spans="1:11" ht="20.100000000000001" customHeight="1">
      <c r="A539" t="s">
        <v>13</v>
      </c>
      <c r="B539">
        <v>10000</v>
      </c>
      <c r="C539">
        <v>4</v>
      </c>
      <c r="D539">
        <v>29</v>
      </c>
      <c r="E539" s="2">
        <v>0.31319999999999998</v>
      </c>
      <c r="F539">
        <v>125452</v>
      </c>
      <c r="G539">
        <v>5000</v>
      </c>
      <c r="H539">
        <v>15000</v>
      </c>
      <c r="I539">
        <v>13</v>
      </c>
      <c r="J539">
        <v>12345</v>
      </c>
      <c r="K539" t="s">
        <v>12</v>
      </c>
    </row>
    <row r="540" spans="1:11" ht="20.100000000000001" customHeight="1">
      <c r="A540" t="s">
        <v>11</v>
      </c>
      <c r="B540">
        <v>10000</v>
      </c>
      <c r="C540">
        <v>4</v>
      </c>
      <c r="D540">
        <v>30</v>
      </c>
      <c r="E540" s="2">
        <v>164.59</v>
      </c>
      <c r="F540">
        <v>49995000</v>
      </c>
      <c r="G540">
        <v>0</v>
      </c>
      <c r="H540">
        <v>50004999</v>
      </c>
      <c r="I540">
        <v>0</v>
      </c>
      <c r="J540">
        <v>12345</v>
      </c>
      <c r="K540" t="s">
        <v>12</v>
      </c>
    </row>
    <row r="541" spans="1:11" ht="20.100000000000001" customHeight="1">
      <c r="A541" t="s">
        <v>13</v>
      </c>
      <c r="B541">
        <v>10000</v>
      </c>
      <c r="C541">
        <v>4</v>
      </c>
      <c r="D541">
        <v>30</v>
      </c>
      <c r="E541" s="2">
        <v>0.30470000000000003</v>
      </c>
      <c r="F541">
        <v>125452</v>
      </c>
      <c r="G541">
        <v>5000</v>
      </c>
      <c r="H541">
        <v>15000</v>
      </c>
      <c r="I541">
        <v>13</v>
      </c>
      <c r="J541">
        <v>12345</v>
      </c>
      <c r="K541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1"/>
  <sheetViews>
    <sheetView workbookViewId="0">
      <pane ySplit="1" topLeftCell="A4" activePane="bottomLeft" state="frozen"/>
      <selection pane="bottomLeft"/>
    </sheetView>
  </sheetViews>
  <sheetFormatPr baseColWidth="10" defaultColWidth="9" defaultRowHeight="14.25"/>
  <cols>
    <col min="1" max="1" width="15" customWidth="1"/>
    <col min="2" max="19" width="18" customWidth="1"/>
  </cols>
  <sheetData>
    <row r="1" spans="1:19" ht="20.100000000000001" customHeight="1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</row>
    <row r="2" spans="1:19" ht="20.100000000000001" customHeight="1">
      <c r="A2">
        <v>1</v>
      </c>
      <c r="B2" s="2">
        <f>Datos!E2</f>
        <v>1.1357999999999999</v>
      </c>
      <c r="C2" s="2">
        <f>Datos!E3</f>
        <v>0.1268</v>
      </c>
      <c r="D2" s="2">
        <f>Datos!E62</f>
        <v>6.1999999999999998E-3</v>
      </c>
      <c r="E2" s="2">
        <f>Datos!E63</f>
        <v>2.81E-2</v>
      </c>
      <c r="F2" s="2">
        <f>Datos!E122</f>
        <v>2.0024999999999999</v>
      </c>
      <c r="G2" s="2">
        <f>Datos!E123</f>
        <v>2.76E-2</v>
      </c>
      <c r="H2" s="2">
        <f>Datos!E182</f>
        <v>28.5732</v>
      </c>
      <c r="I2" s="2">
        <f>Datos!E183</f>
        <v>0.72960000000000003</v>
      </c>
      <c r="J2" s="2">
        <f>Datos!E242</f>
        <v>2.7199999999999998E-2</v>
      </c>
      <c r="K2" s="2">
        <f>Datos!E243</f>
        <v>0.13059999999999999</v>
      </c>
      <c r="L2" s="2">
        <f>Datos!E302</f>
        <v>39.576900000000002</v>
      </c>
      <c r="M2" s="2">
        <f>Datos!E303</f>
        <v>0.13059999999999999</v>
      </c>
      <c r="N2" s="2">
        <f>Datos!E362</f>
        <v>85.027100000000004</v>
      </c>
      <c r="O2" s="2">
        <f>Datos!E363</f>
        <v>1.0055000000000001</v>
      </c>
      <c r="P2" s="2">
        <f>Datos!E422</f>
        <v>8.0500000000000002E-2</v>
      </c>
      <c r="Q2" s="2">
        <f>Datos!E423</f>
        <v>0.41020000000000001</v>
      </c>
      <c r="R2" s="2">
        <f>Datos!E482</f>
        <v>166.73500000000001</v>
      </c>
      <c r="S2" s="2">
        <f>Datos!E483</f>
        <v>0.29189999999999999</v>
      </c>
    </row>
    <row r="3" spans="1:19" ht="20.100000000000001" customHeight="1">
      <c r="A3">
        <v>2</v>
      </c>
      <c r="B3" s="2">
        <f>Datos!E4</f>
        <v>1.1883999999999999</v>
      </c>
      <c r="C3" s="2">
        <f>Datos!E5</f>
        <v>0.1129</v>
      </c>
      <c r="D3" s="2">
        <f>Datos!E64</f>
        <v>6.7999999999999996E-3</v>
      </c>
      <c r="E3" s="2">
        <f>Datos!E65</f>
        <v>2.5700000000000001E-2</v>
      </c>
      <c r="F3" s="2">
        <f>Datos!E124</f>
        <v>2.1230000000000002</v>
      </c>
      <c r="G3" s="2">
        <f>Datos!E125</f>
        <v>2.8899999999999999E-2</v>
      </c>
      <c r="H3" s="2">
        <f>Datos!E184</f>
        <v>24.571200000000001</v>
      </c>
      <c r="I3" s="2">
        <f>Datos!E185</f>
        <v>0.58199999999999996</v>
      </c>
      <c r="J3" s="2">
        <f>Datos!E244</f>
        <v>2.69E-2</v>
      </c>
      <c r="K3" s="2">
        <f>Datos!E245</f>
        <v>0.129</v>
      </c>
      <c r="L3" s="2">
        <f>Datos!E304</f>
        <v>37.833300000000001</v>
      </c>
      <c r="M3" s="2">
        <f>Datos!E305</f>
        <v>0.13009999999999999</v>
      </c>
      <c r="N3" s="2">
        <f>Datos!E364</f>
        <v>76.949200000000005</v>
      </c>
      <c r="O3" s="2">
        <f>Datos!E365</f>
        <v>0.98670000000000002</v>
      </c>
      <c r="P3" s="2">
        <f>Datos!E424</f>
        <v>8.1500000000000003E-2</v>
      </c>
      <c r="Q3" s="2">
        <f>Datos!E425</f>
        <v>0.40670000000000001</v>
      </c>
      <c r="R3" s="2">
        <f>Datos!E484</f>
        <v>154.88800000000001</v>
      </c>
      <c r="S3" s="2">
        <f>Datos!E485</f>
        <v>0.28270000000000001</v>
      </c>
    </row>
    <row r="4" spans="1:19" ht="20.100000000000001" customHeight="1">
      <c r="A4">
        <v>3</v>
      </c>
      <c r="B4" s="2">
        <f>Datos!E6</f>
        <v>1.2193000000000001</v>
      </c>
      <c r="C4" s="2">
        <f>Datos!E7</f>
        <v>0.11409999999999999</v>
      </c>
      <c r="D4" s="2">
        <f>Datos!E66</f>
        <v>6.4000000000000003E-3</v>
      </c>
      <c r="E4" s="2">
        <f>Datos!E67</f>
        <v>2.5499999999999998E-2</v>
      </c>
      <c r="F4" s="2">
        <f>Datos!E126</f>
        <v>2.1013999999999999</v>
      </c>
      <c r="G4" s="2">
        <f>Datos!E127</f>
        <v>2.3300000000000001E-2</v>
      </c>
      <c r="H4" s="2">
        <f>Datos!E186</f>
        <v>24.666499999999999</v>
      </c>
      <c r="I4" s="2">
        <f>Datos!E187</f>
        <v>0.59460000000000002</v>
      </c>
      <c r="J4" s="2">
        <f>Datos!E246</f>
        <v>2.7699999999999999E-2</v>
      </c>
      <c r="K4" s="2">
        <f>Datos!E247</f>
        <v>0.129</v>
      </c>
      <c r="L4" s="2">
        <f>Datos!E306</f>
        <v>38.089300000000001</v>
      </c>
      <c r="M4" s="2">
        <f>Datos!E307</f>
        <v>0.13020000000000001</v>
      </c>
      <c r="N4" s="2">
        <f>Datos!E366</f>
        <v>78.402600000000007</v>
      </c>
      <c r="O4" s="2">
        <f>Datos!E367</f>
        <v>1.0283</v>
      </c>
      <c r="P4" s="2">
        <f>Datos!E426</f>
        <v>8.1000000000000003E-2</v>
      </c>
      <c r="Q4" s="2">
        <f>Datos!E427</f>
        <v>0.41470000000000001</v>
      </c>
      <c r="R4" s="2">
        <f>Datos!E486</f>
        <v>172.499</v>
      </c>
      <c r="S4" s="2">
        <f>Datos!E487</f>
        <v>0.28270000000000001</v>
      </c>
    </row>
    <row r="5" spans="1:19" ht="20.100000000000001" customHeight="1">
      <c r="A5">
        <v>4</v>
      </c>
      <c r="B5" s="2">
        <f>Datos!E8</f>
        <v>0.96379999999999999</v>
      </c>
      <c r="C5" s="2">
        <f>Datos!E9</f>
        <v>9.3700000000000006E-2</v>
      </c>
      <c r="D5" s="2">
        <f>Datos!E68</f>
        <v>6.4000000000000003E-3</v>
      </c>
      <c r="E5" s="2">
        <f>Datos!E69</f>
        <v>2.53E-2</v>
      </c>
      <c r="F5" s="2">
        <f>Datos!E128</f>
        <v>1.6944999999999999</v>
      </c>
      <c r="G5" s="2">
        <f>Datos!E129</f>
        <v>2.3099999999999999E-2</v>
      </c>
      <c r="H5" s="2">
        <f>Datos!E188</f>
        <v>24.685099999999998</v>
      </c>
      <c r="I5" s="2">
        <f>Datos!E189</f>
        <v>0.62580000000000002</v>
      </c>
      <c r="J5" s="2">
        <f>Datos!E248</f>
        <v>2.7099999999999999E-2</v>
      </c>
      <c r="K5" s="2">
        <f>Datos!E249</f>
        <v>0.12909999999999999</v>
      </c>
      <c r="L5" s="2">
        <f>Datos!E308</f>
        <v>37.803600000000003</v>
      </c>
      <c r="M5" s="2">
        <f>Datos!E309</f>
        <v>0.1303</v>
      </c>
      <c r="N5" s="2">
        <f>Datos!E368</f>
        <v>99.581500000000005</v>
      </c>
      <c r="O5" s="2">
        <f>Datos!E369</f>
        <v>1.2522</v>
      </c>
      <c r="P5" s="2">
        <f>Datos!E428</f>
        <v>8.1900000000000001E-2</v>
      </c>
      <c r="Q5" s="2">
        <f>Datos!E429</f>
        <v>0.40920000000000001</v>
      </c>
      <c r="R5" s="2">
        <f>Datos!E488</f>
        <v>153.274</v>
      </c>
      <c r="S5" s="2">
        <f>Datos!E489</f>
        <v>0.28920000000000001</v>
      </c>
    </row>
    <row r="6" spans="1:19" ht="20.100000000000001" customHeight="1">
      <c r="A6">
        <v>5</v>
      </c>
      <c r="B6" s="2">
        <f>Datos!E10</f>
        <v>0.94789999999999996</v>
      </c>
      <c r="C6" s="2">
        <f>Datos!E11</f>
        <v>9.64E-2</v>
      </c>
      <c r="D6" s="2">
        <f>Datos!E70</f>
        <v>6.4999999999999997E-3</v>
      </c>
      <c r="E6" s="2">
        <f>Datos!E71</f>
        <v>2.5399999999999999E-2</v>
      </c>
      <c r="F6" s="2">
        <f>Datos!E130</f>
        <v>1.6890000000000001</v>
      </c>
      <c r="G6" s="2">
        <f>Datos!E131</f>
        <v>2.29E-2</v>
      </c>
      <c r="H6" s="2">
        <f>Datos!E190</f>
        <v>24.776399999999999</v>
      </c>
      <c r="I6" s="2">
        <f>Datos!E191</f>
        <v>0.58340000000000003</v>
      </c>
      <c r="J6" s="2">
        <f>Datos!E250</f>
        <v>2.75E-2</v>
      </c>
      <c r="K6" s="2">
        <f>Datos!E251</f>
        <v>0.12889999999999999</v>
      </c>
      <c r="L6" s="2">
        <f>Datos!E310</f>
        <v>37.830500000000001</v>
      </c>
      <c r="M6" s="2">
        <f>Datos!E311</f>
        <v>0.13</v>
      </c>
      <c r="N6" s="2">
        <f>Datos!E370</f>
        <v>89.942300000000003</v>
      </c>
      <c r="O6" s="2">
        <f>Datos!E371</f>
        <v>1.0505</v>
      </c>
      <c r="P6" s="2">
        <f>Datos!E430</f>
        <v>8.1000000000000003E-2</v>
      </c>
      <c r="Q6" s="2">
        <f>Datos!E431</f>
        <v>0.4093</v>
      </c>
      <c r="R6" s="2">
        <f>Datos!E490</f>
        <v>153.26400000000001</v>
      </c>
      <c r="S6" s="2">
        <f>Datos!E491</f>
        <v>0.28249999999999997</v>
      </c>
    </row>
    <row r="7" spans="1:19" ht="20.100000000000001" customHeight="1">
      <c r="A7">
        <v>6</v>
      </c>
      <c r="B7" s="2">
        <f>Datos!E12</f>
        <v>1.3056000000000001</v>
      </c>
      <c r="C7" s="2">
        <f>Datos!E13</f>
        <v>0.15160000000000001</v>
      </c>
      <c r="D7" s="2">
        <f>Datos!E72</f>
        <v>5.5999999999999999E-3</v>
      </c>
      <c r="E7" s="2">
        <f>Datos!E73</f>
        <v>2.5499999999999998E-2</v>
      </c>
      <c r="F7" s="2">
        <f>Datos!E132</f>
        <v>1.7161999999999999</v>
      </c>
      <c r="G7" s="2">
        <f>Datos!E133</f>
        <v>2.3099999999999999E-2</v>
      </c>
      <c r="H7" s="2">
        <f>Datos!E192</f>
        <v>24.2546</v>
      </c>
      <c r="I7" s="2">
        <f>Datos!E193</f>
        <v>0.58950000000000002</v>
      </c>
      <c r="J7" s="2">
        <f>Datos!E252</f>
        <v>2.7099999999999999E-2</v>
      </c>
      <c r="K7" s="2">
        <f>Datos!E253</f>
        <v>0.1288</v>
      </c>
      <c r="L7" s="2">
        <f>Datos!E312</f>
        <v>37.8553</v>
      </c>
      <c r="M7" s="2">
        <f>Datos!E313</f>
        <v>0.1305</v>
      </c>
      <c r="N7" s="2">
        <f>Datos!E372</f>
        <v>93.160399999999996</v>
      </c>
      <c r="O7" s="2">
        <f>Datos!E373</f>
        <v>1.0072000000000001</v>
      </c>
      <c r="P7" s="2">
        <f>Datos!E432</f>
        <v>8.0600000000000005E-2</v>
      </c>
      <c r="Q7" s="2">
        <f>Datos!E433</f>
        <v>0.41</v>
      </c>
      <c r="R7" s="2">
        <f>Datos!E492</f>
        <v>156.006</v>
      </c>
      <c r="S7" s="2">
        <f>Datos!E493</f>
        <v>0.4264</v>
      </c>
    </row>
    <row r="8" spans="1:19" ht="20.100000000000001" customHeight="1">
      <c r="A8">
        <v>7</v>
      </c>
      <c r="B8" s="2">
        <f>Datos!E14</f>
        <v>1.165</v>
      </c>
      <c r="C8" s="2">
        <f>Datos!E15</f>
        <v>0.11849999999999999</v>
      </c>
      <c r="D8" s="2">
        <f>Datos!E74</f>
        <v>6.0000000000000001E-3</v>
      </c>
      <c r="E8" s="2">
        <f>Datos!E75</f>
        <v>2.5399999999999999E-2</v>
      </c>
      <c r="F8" s="2">
        <f>Datos!E134</f>
        <v>1.6675</v>
      </c>
      <c r="G8" s="2">
        <f>Datos!E135</f>
        <v>2.2700000000000001E-2</v>
      </c>
      <c r="H8" s="2">
        <f>Datos!E194</f>
        <v>25.310300000000002</v>
      </c>
      <c r="I8" s="2">
        <f>Datos!E195</f>
        <v>0.60960000000000003</v>
      </c>
      <c r="J8" s="2">
        <f>Datos!E254</f>
        <v>2.6700000000000002E-2</v>
      </c>
      <c r="K8" s="2">
        <f>Datos!E255</f>
        <v>0.12870000000000001</v>
      </c>
      <c r="L8" s="2">
        <f>Datos!E314</f>
        <v>37.780900000000003</v>
      </c>
      <c r="M8" s="2">
        <f>Datos!E315</f>
        <v>0.1298</v>
      </c>
      <c r="N8" s="2">
        <f>Datos!E374</f>
        <v>78.747</v>
      </c>
      <c r="O8" s="2">
        <f>Datos!E375</f>
        <v>0.99109999999999998</v>
      </c>
      <c r="P8" s="2">
        <f>Datos!E434</f>
        <v>8.0399999999999999E-2</v>
      </c>
      <c r="Q8" s="2">
        <f>Datos!E435</f>
        <v>0.42620000000000002</v>
      </c>
      <c r="R8" s="2">
        <f>Datos!E494</f>
        <v>171.96700000000001</v>
      </c>
      <c r="S8" s="2">
        <f>Datos!E495</f>
        <v>0.28499999999999998</v>
      </c>
    </row>
    <row r="9" spans="1:19" ht="20.100000000000001" customHeight="1">
      <c r="A9">
        <v>8</v>
      </c>
      <c r="B9" s="2">
        <f>Datos!E16</f>
        <v>1.1380999999999999</v>
      </c>
      <c r="C9" s="2">
        <f>Datos!E17</f>
        <v>0.1181</v>
      </c>
      <c r="D9" s="2">
        <f>Datos!E76</f>
        <v>6.0000000000000001E-3</v>
      </c>
      <c r="E9" s="2">
        <f>Datos!E77</f>
        <v>2.53E-2</v>
      </c>
      <c r="F9" s="2">
        <f>Datos!E136</f>
        <v>1.6614</v>
      </c>
      <c r="G9" s="2">
        <f>Datos!E137</f>
        <v>2.2499999999999999E-2</v>
      </c>
      <c r="H9" s="2">
        <f>Datos!E196</f>
        <v>27.164999999999999</v>
      </c>
      <c r="I9" s="2">
        <f>Datos!E197</f>
        <v>0.61899999999999999</v>
      </c>
      <c r="J9" s="2">
        <f>Datos!E256</f>
        <v>2.64E-2</v>
      </c>
      <c r="K9" s="2">
        <f>Datos!E257</f>
        <v>0.13009999999999999</v>
      </c>
      <c r="L9" s="2">
        <f>Datos!E316</f>
        <v>37.961300000000001</v>
      </c>
      <c r="M9" s="2">
        <f>Datos!E317</f>
        <v>0.13070000000000001</v>
      </c>
      <c r="N9" s="2">
        <f>Datos!E376</f>
        <v>77.008399999999995</v>
      </c>
      <c r="O9" s="2">
        <f>Datos!E377</f>
        <v>0.9788</v>
      </c>
      <c r="P9" s="2">
        <f>Datos!E436</f>
        <v>8.0399999999999999E-2</v>
      </c>
      <c r="Q9" s="2">
        <f>Datos!E437</f>
        <v>0.40949999999999998</v>
      </c>
      <c r="R9" s="2">
        <f>Datos!E496</f>
        <v>153.82499999999999</v>
      </c>
      <c r="S9" s="2">
        <f>Datos!E497</f>
        <v>0.28370000000000001</v>
      </c>
    </row>
    <row r="10" spans="1:19" ht="20.100000000000001" customHeight="1">
      <c r="A10">
        <v>9</v>
      </c>
      <c r="B10" s="2">
        <f>Datos!E18</f>
        <v>0.72519999999999996</v>
      </c>
      <c r="C10" s="2">
        <f>Datos!E19</f>
        <v>7.7799999999999994E-2</v>
      </c>
      <c r="D10" s="2">
        <f>Datos!E78</f>
        <v>6.3E-3</v>
      </c>
      <c r="E10" s="2">
        <f>Datos!E79</f>
        <v>2.52E-2</v>
      </c>
      <c r="F10" s="2">
        <f>Datos!E138</f>
        <v>1.6375</v>
      </c>
      <c r="G10" s="2">
        <f>Datos!E139</f>
        <v>2.23E-2</v>
      </c>
      <c r="H10" s="2">
        <f>Datos!E198</f>
        <v>24.947500000000002</v>
      </c>
      <c r="I10" s="2">
        <f>Datos!E199</f>
        <v>0.58889999999999998</v>
      </c>
      <c r="J10" s="2">
        <f>Datos!E258</f>
        <v>2.7E-2</v>
      </c>
      <c r="K10" s="2">
        <f>Datos!E259</f>
        <v>0.12889999999999999</v>
      </c>
      <c r="L10" s="2">
        <f>Datos!E318</f>
        <v>38.212800000000001</v>
      </c>
      <c r="M10" s="2">
        <f>Datos!E319</f>
        <v>0.13120000000000001</v>
      </c>
      <c r="N10" s="2">
        <f>Datos!E378</f>
        <v>78.437799999999996</v>
      </c>
      <c r="O10" s="2">
        <f>Datos!E379</f>
        <v>1.5195000000000001</v>
      </c>
      <c r="P10" s="2">
        <f>Datos!E438</f>
        <v>8.1100000000000005E-2</v>
      </c>
      <c r="Q10" s="2">
        <f>Datos!E439</f>
        <v>0.40889999999999999</v>
      </c>
      <c r="R10" s="2">
        <f>Datos!E498</f>
        <v>153.358</v>
      </c>
      <c r="S10" s="2">
        <f>Datos!E499</f>
        <v>0.28210000000000002</v>
      </c>
    </row>
    <row r="11" spans="1:19" ht="20.100000000000001" customHeight="1">
      <c r="A11">
        <v>10</v>
      </c>
      <c r="B11" s="2">
        <f>Datos!E20</f>
        <v>0.72499999999999998</v>
      </c>
      <c r="C11" s="2">
        <f>Datos!E21</f>
        <v>7.85E-2</v>
      </c>
      <c r="D11" s="2">
        <f>Datos!E80</f>
        <v>6.1999999999999998E-3</v>
      </c>
      <c r="E11" s="2">
        <f>Datos!E81</f>
        <v>2.53E-2</v>
      </c>
      <c r="F11" s="2">
        <f>Datos!E140</f>
        <v>1.6249</v>
      </c>
      <c r="G11" s="2">
        <f>Datos!E141</f>
        <v>2.2200000000000001E-2</v>
      </c>
      <c r="H11" s="2">
        <f>Datos!E200</f>
        <v>24.599499999999999</v>
      </c>
      <c r="I11" s="2">
        <f>Datos!E201</f>
        <v>0.58730000000000004</v>
      </c>
      <c r="J11" s="2">
        <f>Datos!E260</f>
        <v>2.6800000000000001E-2</v>
      </c>
      <c r="K11" s="2">
        <f>Datos!E261</f>
        <v>0.12889999999999999</v>
      </c>
      <c r="L11" s="2">
        <f>Datos!E320</f>
        <v>38.048299999999998</v>
      </c>
      <c r="M11" s="2">
        <f>Datos!E321</f>
        <v>0.13159999999999999</v>
      </c>
      <c r="N11" s="2">
        <f>Datos!E380</f>
        <v>92.124499999999998</v>
      </c>
      <c r="O11" s="2">
        <f>Datos!E381</f>
        <v>1.0008999999999999</v>
      </c>
      <c r="P11" s="2">
        <f>Datos!E440</f>
        <v>8.1000000000000003E-2</v>
      </c>
      <c r="Q11" s="2">
        <f>Datos!E441</f>
        <v>0.41789999999999999</v>
      </c>
      <c r="R11" s="2">
        <f>Datos!E500</f>
        <v>154.55600000000001</v>
      </c>
      <c r="S11" s="2">
        <f>Datos!E501</f>
        <v>0.28249999999999997</v>
      </c>
    </row>
    <row r="12" spans="1:19" ht="20.100000000000001" customHeight="1">
      <c r="A12">
        <v>11</v>
      </c>
      <c r="B12" s="2">
        <f>Datos!E22</f>
        <v>0.79069999999999996</v>
      </c>
      <c r="C12" s="2">
        <f>Datos!E23</f>
        <v>7.6300000000000007E-2</v>
      </c>
      <c r="D12" s="2">
        <f>Datos!E82</f>
        <v>5.4000000000000003E-3</v>
      </c>
      <c r="E12" s="2">
        <f>Datos!E83</f>
        <v>2.5499999999999998E-2</v>
      </c>
      <c r="F12" s="2">
        <f>Datos!E142</f>
        <v>1.6259999999999999</v>
      </c>
      <c r="G12" s="2">
        <f>Datos!E143</f>
        <v>2.2200000000000001E-2</v>
      </c>
      <c r="H12" s="2">
        <f>Datos!E202</f>
        <v>24.292899999999999</v>
      </c>
      <c r="I12" s="2">
        <f>Datos!E203</f>
        <v>0.5847</v>
      </c>
      <c r="J12" s="2">
        <f>Datos!E262</f>
        <v>2.76E-2</v>
      </c>
      <c r="K12" s="2">
        <f>Datos!E263</f>
        <v>0.12889999999999999</v>
      </c>
      <c r="L12" s="2">
        <f>Datos!E322</f>
        <v>38.278599999999997</v>
      </c>
      <c r="M12" s="2">
        <f>Datos!E323</f>
        <v>0.1308</v>
      </c>
      <c r="N12" s="2">
        <f>Datos!E382</f>
        <v>85.713200000000001</v>
      </c>
      <c r="O12" s="2">
        <f>Datos!E383</f>
        <v>1.0102</v>
      </c>
      <c r="P12" s="2">
        <f>Datos!E442</f>
        <v>8.1299999999999997E-2</v>
      </c>
      <c r="Q12" s="2">
        <f>Datos!E443</f>
        <v>0.40910000000000002</v>
      </c>
      <c r="R12" s="2">
        <f>Datos!E502</f>
        <v>154.077</v>
      </c>
      <c r="S12" s="2">
        <f>Datos!E503</f>
        <v>0.2838</v>
      </c>
    </row>
    <row r="13" spans="1:19" ht="20.100000000000001" customHeight="1">
      <c r="A13">
        <v>12</v>
      </c>
      <c r="B13" s="2">
        <f>Datos!E24</f>
        <v>0.73799999999999999</v>
      </c>
      <c r="C13" s="2">
        <f>Datos!E25</f>
        <v>7.6499999999999999E-2</v>
      </c>
      <c r="D13" s="2">
        <f>Datos!E84</f>
        <v>5.5999999999999999E-3</v>
      </c>
      <c r="E13" s="2">
        <f>Datos!E85</f>
        <v>2.5399999999999999E-2</v>
      </c>
      <c r="F13" s="2">
        <f>Datos!E144</f>
        <v>1.6378999999999999</v>
      </c>
      <c r="G13" s="2">
        <f>Datos!E145</f>
        <v>2.24E-2</v>
      </c>
      <c r="H13" s="2">
        <f>Datos!E204</f>
        <v>25.057500000000001</v>
      </c>
      <c r="I13" s="2">
        <f>Datos!E205</f>
        <v>0.58989999999999998</v>
      </c>
      <c r="J13" s="2">
        <f>Datos!E264</f>
        <v>2.76E-2</v>
      </c>
      <c r="K13" s="2">
        <f>Datos!E265</f>
        <v>0.12870000000000001</v>
      </c>
      <c r="L13" s="2">
        <f>Datos!E324</f>
        <v>38.3065</v>
      </c>
      <c r="M13" s="2">
        <f>Datos!E325</f>
        <v>0.13159999999999999</v>
      </c>
      <c r="N13" s="2">
        <f>Datos!E384</f>
        <v>76.652500000000003</v>
      </c>
      <c r="O13" s="2">
        <f>Datos!E385</f>
        <v>1.0026999999999999</v>
      </c>
      <c r="P13" s="2">
        <f>Datos!E444</f>
        <v>8.1900000000000001E-2</v>
      </c>
      <c r="Q13" s="2">
        <f>Datos!E445</f>
        <v>0.40920000000000001</v>
      </c>
      <c r="R13" s="2">
        <f>Datos!E504</f>
        <v>153.84</v>
      </c>
      <c r="S13" s="2">
        <f>Datos!E505</f>
        <v>0.28179999999999999</v>
      </c>
    </row>
    <row r="14" spans="1:19" ht="20.100000000000001" customHeight="1">
      <c r="A14">
        <v>13</v>
      </c>
      <c r="B14" s="2">
        <f>Datos!E26</f>
        <v>0.74460000000000004</v>
      </c>
      <c r="C14" s="2">
        <f>Datos!E27</f>
        <v>7.6499999999999999E-2</v>
      </c>
      <c r="D14" s="2">
        <f>Datos!E86</f>
        <v>6.0000000000000001E-3</v>
      </c>
      <c r="E14" s="2">
        <f>Datos!E87</f>
        <v>2.5499999999999998E-2</v>
      </c>
      <c r="F14" s="2">
        <f>Datos!E146</f>
        <v>1.7545999999999999</v>
      </c>
      <c r="G14" s="2">
        <f>Datos!E147</f>
        <v>2.3599999999999999E-2</v>
      </c>
      <c r="H14" s="2">
        <f>Datos!E206</f>
        <v>24.6374</v>
      </c>
      <c r="I14" s="2">
        <f>Datos!E207</f>
        <v>0.60119999999999996</v>
      </c>
      <c r="J14" s="2">
        <f>Datos!E266</f>
        <v>2.6499999999999999E-2</v>
      </c>
      <c r="K14" s="2">
        <f>Datos!E267</f>
        <v>0.13719999999999999</v>
      </c>
      <c r="L14" s="2">
        <f>Datos!E326</f>
        <v>38.233600000000003</v>
      </c>
      <c r="M14" s="2">
        <f>Datos!E327</f>
        <v>0.13289999999999999</v>
      </c>
      <c r="N14" s="2">
        <f>Datos!E386</f>
        <v>76.382499999999993</v>
      </c>
      <c r="O14" s="2">
        <f>Datos!E387</f>
        <v>0.98780000000000001</v>
      </c>
      <c r="P14" s="2">
        <f>Datos!E446</f>
        <v>8.1600000000000006E-2</v>
      </c>
      <c r="Q14" s="2">
        <f>Datos!E447</f>
        <v>0.41139999999999999</v>
      </c>
      <c r="R14" s="2">
        <f>Datos!E506</f>
        <v>170.136</v>
      </c>
      <c r="S14" s="2">
        <f>Datos!E507</f>
        <v>0.27939999999999998</v>
      </c>
    </row>
    <row r="15" spans="1:19" ht="20.100000000000001" customHeight="1">
      <c r="A15">
        <v>14</v>
      </c>
      <c r="B15" s="2">
        <f>Datos!E28</f>
        <v>0.73970000000000002</v>
      </c>
      <c r="C15" s="2">
        <f>Datos!E29</f>
        <v>7.6100000000000001E-2</v>
      </c>
      <c r="D15" s="2">
        <f>Datos!E88</f>
        <v>6.0000000000000001E-3</v>
      </c>
      <c r="E15" s="2">
        <f>Datos!E89</f>
        <v>2.5499999999999998E-2</v>
      </c>
      <c r="F15" s="2">
        <f>Datos!E148</f>
        <v>1.6641999999999999</v>
      </c>
      <c r="G15" s="2">
        <f>Datos!E149</f>
        <v>2.29E-2</v>
      </c>
      <c r="H15" s="2">
        <f>Datos!E208</f>
        <v>24.273499999999999</v>
      </c>
      <c r="I15" s="2">
        <f>Datos!E209</f>
        <v>0.5877</v>
      </c>
      <c r="J15" s="2">
        <f>Datos!E268</f>
        <v>2.7E-2</v>
      </c>
      <c r="K15" s="2">
        <f>Datos!E269</f>
        <v>0.128</v>
      </c>
      <c r="L15" s="2">
        <f>Datos!E328</f>
        <v>38.241500000000002</v>
      </c>
      <c r="M15" s="2">
        <f>Datos!E329</f>
        <v>0.13100000000000001</v>
      </c>
      <c r="N15" s="2">
        <f>Datos!E388</f>
        <v>77.132999999999996</v>
      </c>
      <c r="O15" s="2">
        <f>Datos!E389</f>
        <v>1.0102</v>
      </c>
      <c r="P15" s="2">
        <f>Datos!E448</f>
        <v>6.8199999999999997E-2</v>
      </c>
      <c r="Q15" s="2">
        <f>Datos!E449</f>
        <v>0.34549999999999997</v>
      </c>
      <c r="R15" s="2">
        <f>Datos!E508</f>
        <v>153.304</v>
      </c>
      <c r="S15" s="2">
        <f>Datos!E509</f>
        <v>0.2823</v>
      </c>
    </row>
    <row r="16" spans="1:19" ht="20.100000000000001" customHeight="1">
      <c r="A16">
        <v>15</v>
      </c>
      <c r="B16" s="2">
        <f>Datos!E30</f>
        <v>0.75360000000000005</v>
      </c>
      <c r="C16" s="2">
        <f>Datos!E31</f>
        <v>7.6399999999999996E-2</v>
      </c>
      <c r="D16" s="2">
        <f>Datos!E90</f>
        <v>6.1999999999999998E-3</v>
      </c>
      <c r="E16" s="2">
        <f>Datos!E91</f>
        <v>2.5499999999999998E-2</v>
      </c>
      <c r="F16" s="2">
        <f>Datos!E150</f>
        <v>1.6842999999999999</v>
      </c>
      <c r="G16" s="2">
        <f>Datos!E151</f>
        <v>2.29E-2</v>
      </c>
      <c r="H16" s="2">
        <f>Datos!E210</f>
        <v>24.955300000000001</v>
      </c>
      <c r="I16" s="2">
        <f>Datos!E211</f>
        <v>0.60899999999999999</v>
      </c>
      <c r="J16" s="2">
        <f>Datos!E270</f>
        <v>2.5899999999999999E-2</v>
      </c>
      <c r="K16" s="2">
        <f>Datos!E271</f>
        <v>0.128</v>
      </c>
      <c r="L16" s="2">
        <f>Datos!E330</f>
        <v>38.397399999999998</v>
      </c>
      <c r="M16" s="2">
        <f>Datos!E331</f>
        <v>0.1318</v>
      </c>
      <c r="N16" s="2">
        <f>Datos!E390</f>
        <v>77.651399999999995</v>
      </c>
      <c r="O16" s="2">
        <f>Datos!E391</f>
        <v>0.97629999999999995</v>
      </c>
      <c r="P16" s="2">
        <f>Datos!E450</f>
        <v>6.7900000000000002E-2</v>
      </c>
      <c r="Q16" s="2">
        <f>Datos!E451</f>
        <v>0.34520000000000001</v>
      </c>
      <c r="R16" s="2">
        <f>Datos!E510</f>
        <v>153.42500000000001</v>
      </c>
      <c r="S16" s="2">
        <f>Datos!E511</f>
        <v>0.28939999999999999</v>
      </c>
    </row>
    <row r="17" spans="1:19" ht="20.100000000000001" customHeight="1">
      <c r="A17">
        <v>16</v>
      </c>
      <c r="B17" s="2">
        <f>Datos!E32</f>
        <v>0.7782</v>
      </c>
      <c r="C17" s="2">
        <f>Datos!E33</f>
        <v>7.8899999999999998E-2</v>
      </c>
      <c r="D17" s="2">
        <f>Datos!E92</f>
        <v>5.7999999999999996E-3</v>
      </c>
      <c r="E17" s="2">
        <f>Datos!E93</f>
        <v>2.53E-2</v>
      </c>
      <c r="F17" s="2">
        <f>Datos!E152</f>
        <v>1.6585000000000001</v>
      </c>
      <c r="G17" s="2">
        <f>Datos!E153</f>
        <v>2.2700000000000001E-2</v>
      </c>
      <c r="H17" s="2">
        <f>Datos!E212</f>
        <v>24.118600000000001</v>
      </c>
      <c r="I17" s="2">
        <f>Datos!E213</f>
        <v>0.58689999999999998</v>
      </c>
      <c r="J17" s="2">
        <f>Datos!E272</f>
        <v>2.7300000000000001E-2</v>
      </c>
      <c r="K17" s="2">
        <f>Datos!E273</f>
        <v>0.12820000000000001</v>
      </c>
      <c r="L17" s="2">
        <f>Datos!E332</f>
        <v>38.659799999999997</v>
      </c>
      <c r="M17" s="2">
        <f>Datos!E333</f>
        <v>0.13100000000000001</v>
      </c>
      <c r="N17" s="2">
        <f>Datos!E392</f>
        <v>76.518699999999995</v>
      </c>
      <c r="O17" s="2">
        <f>Datos!E393</f>
        <v>0.96950000000000003</v>
      </c>
      <c r="P17" s="2">
        <f>Datos!E452</f>
        <v>6.83E-2</v>
      </c>
      <c r="Q17" s="2">
        <f>Datos!E453</f>
        <v>0.3584</v>
      </c>
      <c r="R17" s="2">
        <f>Datos!E512</f>
        <v>154.09100000000001</v>
      </c>
      <c r="S17" s="2">
        <f>Datos!E513</f>
        <v>0.2873</v>
      </c>
    </row>
    <row r="18" spans="1:19" ht="20.100000000000001" customHeight="1">
      <c r="A18">
        <v>17</v>
      </c>
      <c r="B18" s="2">
        <f>Datos!E34</f>
        <v>0.7359</v>
      </c>
      <c r="C18" s="2">
        <f>Datos!E35</f>
        <v>7.5499999999999998E-2</v>
      </c>
      <c r="D18" s="2">
        <f>Datos!E94</f>
        <v>5.4000000000000003E-3</v>
      </c>
      <c r="E18" s="2">
        <f>Datos!E95</f>
        <v>2.5399999999999999E-2</v>
      </c>
      <c r="F18" s="2">
        <f>Datos!E154</f>
        <v>1.6604000000000001</v>
      </c>
      <c r="G18" s="2">
        <f>Datos!E155</f>
        <v>2.2700000000000001E-2</v>
      </c>
      <c r="H18" s="2">
        <f>Datos!E214</f>
        <v>24.156700000000001</v>
      </c>
      <c r="I18" s="2">
        <f>Datos!E215</f>
        <v>0.58040000000000003</v>
      </c>
      <c r="J18" s="2">
        <f>Datos!E274</f>
        <v>2.7199999999999998E-2</v>
      </c>
      <c r="K18" s="2">
        <f>Datos!E275</f>
        <v>0.128</v>
      </c>
      <c r="L18" s="2">
        <f>Datos!E334</f>
        <v>38.345500000000001</v>
      </c>
      <c r="M18" s="2">
        <f>Datos!E335</f>
        <v>0.13100000000000001</v>
      </c>
      <c r="N18" s="2">
        <f>Datos!E394</f>
        <v>77.310699999999997</v>
      </c>
      <c r="O18" s="2">
        <f>Datos!E395</f>
        <v>0.97119999999999995</v>
      </c>
      <c r="P18" s="2">
        <f>Datos!E454</f>
        <v>8.48E-2</v>
      </c>
      <c r="Q18" s="2">
        <f>Datos!E455</f>
        <v>0.37819999999999998</v>
      </c>
      <c r="R18" s="2">
        <f>Datos!E514</f>
        <v>153.15799999999999</v>
      </c>
      <c r="S18" s="2">
        <f>Datos!E515</f>
        <v>0.28239999999999998</v>
      </c>
    </row>
    <row r="19" spans="1:19" ht="20.100000000000001" customHeight="1">
      <c r="A19">
        <v>18</v>
      </c>
      <c r="B19" s="2">
        <f>Datos!E36</f>
        <v>0.76890000000000003</v>
      </c>
      <c r="C19" s="2">
        <f>Datos!E37</f>
        <v>7.7100000000000002E-2</v>
      </c>
      <c r="D19" s="2">
        <f>Datos!E96</f>
        <v>6.3E-3</v>
      </c>
      <c r="E19" s="2">
        <f>Datos!E97</f>
        <v>2.5399999999999999E-2</v>
      </c>
      <c r="F19" s="2">
        <f>Datos!E156</f>
        <v>1.6781999999999999</v>
      </c>
      <c r="G19" s="2">
        <f>Datos!E157</f>
        <v>2.29E-2</v>
      </c>
      <c r="H19" s="2">
        <f>Datos!E216</f>
        <v>24.049600000000002</v>
      </c>
      <c r="I19" s="2">
        <f>Datos!E217</f>
        <v>0.58779999999999999</v>
      </c>
      <c r="J19" s="2">
        <f>Datos!E276</f>
        <v>2.7E-2</v>
      </c>
      <c r="K19" s="2">
        <f>Datos!E277</f>
        <v>0.1278</v>
      </c>
      <c r="L19" s="2">
        <f>Datos!E336</f>
        <v>38.207599999999999</v>
      </c>
      <c r="M19" s="2">
        <f>Datos!E337</f>
        <v>0.1313</v>
      </c>
      <c r="N19" s="2">
        <f>Datos!E396</f>
        <v>77.472899999999996</v>
      </c>
      <c r="O19" s="2">
        <f>Datos!E397</f>
        <v>0.98470000000000002</v>
      </c>
      <c r="P19" s="2">
        <f>Datos!E456</f>
        <v>7.4099999999999999E-2</v>
      </c>
      <c r="Q19" s="2">
        <f>Datos!E457</f>
        <v>0.37369999999999998</v>
      </c>
      <c r="R19" s="2">
        <f>Datos!E516</f>
        <v>155.203</v>
      </c>
      <c r="S19" s="2">
        <f>Datos!E517</f>
        <v>0.28360000000000002</v>
      </c>
    </row>
    <row r="20" spans="1:19" ht="20.100000000000001" customHeight="1">
      <c r="A20">
        <v>19</v>
      </c>
      <c r="B20" s="2">
        <f>Datos!E38</f>
        <v>0.76859999999999995</v>
      </c>
      <c r="C20" s="2">
        <f>Datos!E39</f>
        <v>7.5800000000000006E-2</v>
      </c>
      <c r="D20" s="2">
        <f>Datos!E98</f>
        <v>6.0000000000000001E-3</v>
      </c>
      <c r="E20" s="2">
        <f>Datos!E99</f>
        <v>2.5399999999999999E-2</v>
      </c>
      <c r="F20" s="2">
        <f>Datos!E158</f>
        <v>1.6686000000000001</v>
      </c>
      <c r="G20" s="2">
        <f>Datos!E159</f>
        <v>2.29E-2</v>
      </c>
      <c r="H20" s="2">
        <f>Datos!E218</f>
        <v>24.440300000000001</v>
      </c>
      <c r="I20" s="2">
        <f>Datos!E219</f>
        <v>0.58509999999999995</v>
      </c>
      <c r="J20" s="2">
        <f>Datos!E278</f>
        <v>2.69E-2</v>
      </c>
      <c r="K20" s="2">
        <f>Datos!E279</f>
        <v>0.13009999999999999</v>
      </c>
      <c r="L20" s="2">
        <f>Datos!E338</f>
        <v>38.041800000000002</v>
      </c>
      <c r="M20" s="2">
        <f>Datos!E339</f>
        <v>0.13</v>
      </c>
      <c r="N20" s="2">
        <f>Datos!E398</f>
        <v>76.930700000000002</v>
      </c>
      <c r="O20" s="2">
        <f>Datos!E399</f>
        <v>0.96509999999999996</v>
      </c>
      <c r="P20" s="2">
        <f>Datos!E458</f>
        <v>7.4200000000000002E-2</v>
      </c>
      <c r="Q20" s="2">
        <f>Datos!E459</f>
        <v>0.42649999999999999</v>
      </c>
      <c r="R20" s="2">
        <f>Datos!E518</f>
        <v>152.60599999999999</v>
      </c>
      <c r="S20" s="2">
        <f>Datos!E519</f>
        <v>0.28029999999999999</v>
      </c>
    </row>
    <row r="21" spans="1:19" ht="20.100000000000001" customHeight="1">
      <c r="A21">
        <v>20</v>
      </c>
      <c r="B21" s="2">
        <f>Datos!E40</f>
        <v>0.73699999999999999</v>
      </c>
      <c r="C21" s="2">
        <f>Datos!E41</f>
        <v>7.7200000000000005E-2</v>
      </c>
      <c r="D21" s="2">
        <f>Datos!E100</f>
        <v>6.1999999999999998E-3</v>
      </c>
      <c r="E21" s="2">
        <f>Datos!E101</f>
        <v>2.53E-2</v>
      </c>
      <c r="F21" s="2">
        <f>Datos!E160</f>
        <v>1.6857</v>
      </c>
      <c r="G21" s="2">
        <f>Datos!E161</f>
        <v>2.3099999999999999E-2</v>
      </c>
      <c r="H21" s="2">
        <f>Datos!E220</f>
        <v>24.565000000000001</v>
      </c>
      <c r="I21" s="2">
        <f>Datos!E221</f>
        <v>0.57889999999999997</v>
      </c>
      <c r="J21" s="2">
        <f>Datos!E280</f>
        <v>2.7199999999999998E-2</v>
      </c>
      <c r="K21" s="2">
        <f>Datos!E281</f>
        <v>0.128</v>
      </c>
      <c r="L21" s="2">
        <f>Datos!E340</f>
        <v>38.028100000000002</v>
      </c>
      <c r="M21" s="2">
        <f>Datos!E341</f>
        <v>0.13</v>
      </c>
      <c r="N21" s="2">
        <f>Datos!E400</f>
        <v>78.419799999999995</v>
      </c>
      <c r="O21" s="2">
        <f>Datos!E401</f>
        <v>0.97360000000000002</v>
      </c>
      <c r="P21" s="2">
        <f>Datos!E460</f>
        <v>8.2699999999999996E-2</v>
      </c>
      <c r="Q21" s="2">
        <f>Datos!E461</f>
        <v>0.41909999999999997</v>
      </c>
      <c r="R21" s="2">
        <f>Datos!E520</f>
        <v>152.26499999999999</v>
      </c>
      <c r="S21" s="2">
        <f>Datos!E521</f>
        <v>0.27879999999999999</v>
      </c>
    </row>
    <row r="22" spans="1:19" ht="20.100000000000001" customHeight="1">
      <c r="A22">
        <v>21</v>
      </c>
      <c r="B22" s="2">
        <f>Datos!E42</f>
        <v>0.76590000000000003</v>
      </c>
      <c r="C22" s="2">
        <f>Datos!E43</f>
        <v>8.1100000000000005E-2</v>
      </c>
      <c r="D22" s="2">
        <f>Datos!E102</f>
        <v>5.4000000000000003E-3</v>
      </c>
      <c r="E22" s="2">
        <f>Datos!E103</f>
        <v>2.53E-2</v>
      </c>
      <c r="F22" s="2">
        <f>Datos!E162</f>
        <v>1.6831</v>
      </c>
      <c r="G22" s="2">
        <f>Datos!E163</f>
        <v>2.3099999999999999E-2</v>
      </c>
      <c r="H22" s="2">
        <f>Datos!E222</f>
        <v>23.867799999999999</v>
      </c>
      <c r="I22" s="2">
        <f>Datos!E223</f>
        <v>0.58540000000000003</v>
      </c>
      <c r="J22" s="2">
        <f>Datos!E282</f>
        <v>2.6599999999999999E-2</v>
      </c>
      <c r="K22" s="2">
        <f>Datos!E283</f>
        <v>0.12809999999999999</v>
      </c>
      <c r="L22" s="2">
        <f>Datos!E342</f>
        <v>38.068600000000004</v>
      </c>
      <c r="M22" s="2">
        <f>Datos!E343</f>
        <v>0.13100000000000001</v>
      </c>
      <c r="N22" s="2">
        <f>Datos!E402</f>
        <v>77.128900000000002</v>
      </c>
      <c r="O22" s="2">
        <f>Datos!E403</f>
        <v>0.98329999999999995</v>
      </c>
      <c r="P22" s="2">
        <f>Datos!E462</f>
        <v>8.8400000000000006E-2</v>
      </c>
      <c r="Q22" s="2">
        <f>Datos!E463</f>
        <v>0.42209999999999998</v>
      </c>
      <c r="R22" s="2">
        <f>Datos!E522</f>
        <v>152.38200000000001</v>
      </c>
      <c r="S22" s="2">
        <f>Datos!E523</f>
        <v>0.28189999999999998</v>
      </c>
    </row>
    <row r="23" spans="1:19" ht="20.100000000000001" customHeight="1">
      <c r="A23">
        <v>22</v>
      </c>
      <c r="B23" s="2">
        <f>Datos!E44</f>
        <v>0.77969999999999995</v>
      </c>
      <c r="C23" s="2">
        <f>Datos!E45</f>
        <v>7.9299999999999995E-2</v>
      </c>
      <c r="D23" s="2">
        <f>Datos!E104</f>
        <v>5.5999999999999999E-3</v>
      </c>
      <c r="E23" s="2">
        <f>Datos!E105</f>
        <v>2.5399999999999999E-2</v>
      </c>
      <c r="F23" s="2">
        <f>Datos!E164</f>
        <v>1.792</v>
      </c>
      <c r="G23" s="2">
        <f>Datos!E165</f>
        <v>4.7E-2</v>
      </c>
      <c r="H23" s="2">
        <f>Datos!E224</f>
        <v>24.392900000000001</v>
      </c>
      <c r="I23" s="2">
        <f>Datos!E225</f>
        <v>0.58199999999999996</v>
      </c>
      <c r="J23" s="2">
        <f>Datos!E284</f>
        <v>2.6800000000000001E-2</v>
      </c>
      <c r="K23" s="2">
        <f>Datos!E285</f>
        <v>0.12820000000000001</v>
      </c>
      <c r="L23" s="2">
        <f>Datos!E344</f>
        <v>38.354300000000002</v>
      </c>
      <c r="M23" s="2">
        <f>Datos!E345</f>
        <v>0.13089999999999999</v>
      </c>
      <c r="N23" s="2">
        <f>Datos!E404</f>
        <v>77.774699999999996</v>
      </c>
      <c r="O23" s="2">
        <f>Datos!E405</f>
        <v>0.99760000000000004</v>
      </c>
      <c r="P23" s="2">
        <f>Datos!E464</f>
        <v>8.3199999999999996E-2</v>
      </c>
      <c r="Q23" s="2">
        <f>Datos!E465</f>
        <v>0.41870000000000002</v>
      </c>
      <c r="R23" s="2">
        <f>Datos!E524</f>
        <v>152.173</v>
      </c>
      <c r="S23" s="2">
        <f>Datos!E525</f>
        <v>0.28060000000000002</v>
      </c>
    </row>
    <row r="24" spans="1:19" ht="20.100000000000001" customHeight="1">
      <c r="A24">
        <v>23</v>
      </c>
      <c r="B24" s="2">
        <f>Datos!E46</f>
        <v>0.91500000000000004</v>
      </c>
      <c r="C24" s="2">
        <f>Datos!E47</f>
        <v>0.10970000000000001</v>
      </c>
      <c r="D24" s="2">
        <f>Datos!E106</f>
        <v>6.1999999999999998E-3</v>
      </c>
      <c r="E24" s="2">
        <f>Datos!E107</f>
        <v>2.53E-2</v>
      </c>
      <c r="F24" s="2">
        <f>Datos!E166</f>
        <v>1.7073</v>
      </c>
      <c r="G24" s="2">
        <f>Datos!E167</f>
        <v>2.3099999999999999E-2</v>
      </c>
      <c r="H24" s="2">
        <f>Datos!E226</f>
        <v>24.318300000000001</v>
      </c>
      <c r="I24" s="2">
        <f>Datos!E227</f>
        <v>0.58930000000000005</v>
      </c>
      <c r="J24" s="2">
        <f>Datos!E286</f>
        <v>2.7199999999999998E-2</v>
      </c>
      <c r="K24" s="2">
        <f>Datos!E287</f>
        <v>0.128</v>
      </c>
      <c r="L24" s="2">
        <f>Datos!E346</f>
        <v>48.869700000000002</v>
      </c>
      <c r="M24" s="2">
        <f>Datos!E347</f>
        <v>0.20699999999999999</v>
      </c>
      <c r="N24" s="2">
        <f>Datos!E406</f>
        <v>104.077</v>
      </c>
      <c r="O24" s="2">
        <f>Datos!E407</f>
        <v>1.2927</v>
      </c>
      <c r="P24" s="2">
        <f>Datos!E466</f>
        <v>8.3400000000000002E-2</v>
      </c>
      <c r="Q24" s="2">
        <f>Datos!E467</f>
        <v>0.41820000000000002</v>
      </c>
      <c r="R24" s="2">
        <f>Datos!E526</f>
        <v>155.381</v>
      </c>
      <c r="S24" s="2">
        <f>Datos!E527</f>
        <v>0.32750000000000001</v>
      </c>
    </row>
    <row r="25" spans="1:19" ht="20.100000000000001" customHeight="1">
      <c r="A25">
        <v>24</v>
      </c>
      <c r="B25" s="2">
        <f>Datos!E48</f>
        <v>1.0496000000000001</v>
      </c>
      <c r="C25" s="2">
        <f>Datos!E49</f>
        <v>0.1043</v>
      </c>
      <c r="D25" s="2">
        <f>Datos!E108</f>
        <v>5.7999999999999996E-3</v>
      </c>
      <c r="E25" s="2">
        <f>Datos!E109</f>
        <v>2.5399999999999999E-2</v>
      </c>
      <c r="F25" s="2">
        <f>Datos!E168</f>
        <v>1.7504999999999999</v>
      </c>
      <c r="G25" s="2">
        <f>Datos!E169</f>
        <v>2.3400000000000001E-2</v>
      </c>
      <c r="H25" s="2">
        <f>Datos!E228</f>
        <v>24.142399999999999</v>
      </c>
      <c r="I25" s="2">
        <f>Datos!E229</f>
        <v>0.58879999999999999</v>
      </c>
      <c r="J25" s="2">
        <f>Datos!E288</f>
        <v>2.7300000000000001E-2</v>
      </c>
      <c r="K25" s="2">
        <f>Datos!E289</f>
        <v>0.12809999999999999</v>
      </c>
      <c r="L25" s="2">
        <f>Datos!E348</f>
        <v>42.749099999999999</v>
      </c>
      <c r="M25" s="2">
        <f>Datos!E349</f>
        <v>0.13239999999999999</v>
      </c>
      <c r="N25" s="2">
        <f>Datos!E408</f>
        <v>89.118799999999993</v>
      </c>
      <c r="O25" s="2">
        <f>Datos!E409</f>
        <v>1.0245</v>
      </c>
      <c r="P25" s="2">
        <f>Datos!E468</f>
        <v>8.2799999999999999E-2</v>
      </c>
      <c r="Q25" s="2">
        <f>Datos!E469</f>
        <v>0.42149999999999999</v>
      </c>
      <c r="R25" s="2">
        <f>Datos!E528</f>
        <v>185.66300000000001</v>
      </c>
      <c r="S25" s="2">
        <f>Datos!E529</f>
        <v>0.28370000000000001</v>
      </c>
    </row>
    <row r="26" spans="1:19" ht="20.100000000000001" customHeight="1">
      <c r="A26">
        <v>25</v>
      </c>
      <c r="B26" s="2">
        <f>Datos!E50</f>
        <v>1.0041</v>
      </c>
      <c r="C26" s="2">
        <f>Datos!E51</f>
        <v>0.1011</v>
      </c>
      <c r="D26" s="2">
        <f>Datos!E110</f>
        <v>6.1000000000000004E-3</v>
      </c>
      <c r="E26" s="2">
        <f>Datos!E111</f>
        <v>2.53E-2</v>
      </c>
      <c r="F26" s="2">
        <f>Datos!E170</f>
        <v>1.7565</v>
      </c>
      <c r="G26" s="2">
        <f>Datos!E171</f>
        <v>2.3900000000000001E-2</v>
      </c>
      <c r="H26" s="2">
        <f>Datos!E230</f>
        <v>23.743500000000001</v>
      </c>
      <c r="I26" s="2">
        <f>Datos!E231</f>
        <v>0.5796</v>
      </c>
      <c r="J26" s="2">
        <f>Datos!E290</f>
        <v>2.7E-2</v>
      </c>
      <c r="K26" s="2">
        <f>Datos!E291</f>
        <v>0.12809999999999999</v>
      </c>
      <c r="L26" s="2">
        <f>Datos!E350</f>
        <v>46.202100000000002</v>
      </c>
      <c r="M26" s="2">
        <f>Datos!E351</f>
        <v>0.1414</v>
      </c>
      <c r="N26" s="2">
        <f>Datos!E410</f>
        <v>92.604200000000006</v>
      </c>
      <c r="O26" s="2">
        <f>Datos!E411</f>
        <v>1.0074000000000001</v>
      </c>
      <c r="P26" s="2">
        <f>Datos!E470</f>
        <v>8.3500000000000005E-2</v>
      </c>
      <c r="Q26" s="2">
        <f>Datos!E471</f>
        <v>0.41839999999999999</v>
      </c>
      <c r="R26" s="2">
        <f>Datos!E530</f>
        <v>152.614</v>
      </c>
      <c r="S26" s="2">
        <f>Datos!E531</f>
        <v>0.28060000000000002</v>
      </c>
    </row>
    <row r="27" spans="1:19" ht="20.100000000000001" customHeight="1">
      <c r="A27">
        <v>26</v>
      </c>
      <c r="B27" s="2">
        <f>Datos!E52</f>
        <v>1.0041</v>
      </c>
      <c r="C27" s="2">
        <f>Datos!E53</f>
        <v>0.1023</v>
      </c>
      <c r="D27" s="2">
        <f>Datos!E112</f>
        <v>6.1999999999999998E-3</v>
      </c>
      <c r="E27" s="2">
        <f>Datos!E113</f>
        <v>2.53E-2</v>
      </c>
      <c r="F27" s="2">
        <f>Datos!E172</f>
        <v>1.7356</v>
      </c>
      <c r="G27" s="2">
        <f>Datos!E173</f>
        <v>2.3599999999999999E-2</v>
      </c>
      <c r="H27" s="2">
        <f>Datos!E232</f>
        <v>23.289300000000001</v>
      </c>
      <c r="I27" s="2">
        <f>Datos!E233</f>
        <v>0.55349999999999999</v>
      </c>
      <c r="J27" s="2">
        <f>Datos!E292</f>
        <v>2.7199999999999998E-2</v>
      </c>
      <c r="K27" s="2">
        <f>Datos!E293</f>
        <v>0.12790000000000001</v>
      </c>
      <c r="L27" s="2">
        <f>Datos!E352</f>
        <v>38.494300000000003</v>
      </c>
      <c r="M27" s="2">
        <f>Datos!E353</f>
        <v>0.13170000000000001</v>
      </c>
      <c r="N27" s="2">
        <f>Datos!E412</f>
        <v>79.481200000000001</v>
      </c>
      <c r="O27" s="2">
        <f>Datos!E413</f>
        <v>1.2602</v>
      </c>
      <c r="P27" s="2">
        <f>Datos!E472</f>
        <v>8.3799999999999999E-2</v>
      </c>
      <c r="Q27" s="2">
        <f>Datos!E473</f>
        <v>0.41860000000000003</v>
      </c>
      <c r="R27" s="2">
        <f>Datos!E532</f>
        <v>176.571</v>
      </c>
      <c r="S27" s="2">
        <f>Datos!E533</f>
        <v>0.28449999999999998</v>
      </c>
    </row>
    <row r="28" spans="1:19" ht="20.100000000000001" customHeight="1">
      <c r="A28">
        <v>27</v>
      </c>
      <c r="B28" s="2">
        <f>Datos!E54</f>
        <v>0.98019999999999996</v>
      </c>
      <c r="C28" s="2">
        <f>Datos!E55</f>
        <v>0.1016</v>
      </c>
      <c r="D28" s="2">
        <f>Datos!E114</f>
        <v>5.7000000000000002E-3</v>
      </c>
      <c r="E28" s="2">
        <f>Datos!E115</f>
        <v>2.5399999999999999E-2</v>
      </c>
      <c r="F28" s="2">
        <f>Datos!E174</f>
        <v>1.7139</v>
      </c>
      <c r="G28" s="2">
        <f>Datos!E175</f>
        <v>2.35E-2</v>
      </c>
      <c r="H28" s="2">
        <f>Datos!E234</f>
        <v>22.543099999999999</v>
      </c>
      <c r="I28" s="2">
        <f>Datos!E235</f>
        <v>0.53410000000000002</v>
      </c>
      <c r="J28" s="2">
        <f>Datos!E294</f>
        <v>2.7E-2</v>
      </c>
      <c r="K28" s="2">
        <f>Datos!E295</f>
        <v>0.12820000000000001</v>
      </c>
      <c r="L28" s="2">
        <f>Datos!E354</f>
        <v>38.226799999999997</v>
      </c>
      <c r="M28" s="2">
        <f>Datos!E355</f>
        <v>0.13189999999999999</v>
      </c>
      <c r="N28" s="2">
        <f>Datos!E414</f>
        <v>86.933000000000007</v>
      </c>
      <c r="O28" s="2">
        <f>Datos!E415</f>
        <v>1.0043</v>
      </c>
      <c r="P28" s="2">
        <f>Datos!E474</f>
        <v>8.3199999999999996E-2</v>
      </c>
      <c r="Q28" s="2">
        <f>Datos!E475</f>
        <v>0.41920000000000002</v>
      </c>
      <c r="R28" s="2">
        <f>Datos!E534</f>
        <v>180.50800000000001</v>
      </c>
      <c r="S28" s="2">
        <f>Datos!E535</f>
        <v>0.30730000000000002</v>
      </c>
    </row>
    <row r="29" spans="1:19" ht="20.100000000000001" customHeight="1">
      <c r="A29">
        <v>28</v>
      </c>
      <c r="B29" s="2">
        <f>Datos!E56</f>
        <v>1.0881000000000001</v>
      </c>
      <c r="C29" s="2">
        <f>Datos!E57</f>
        <v>0.1027</v>
      </c>
      <c r="D29" s="2">
        <f>Datos!E116</f>
        <v>6.4000000000000003E-3</v>
      </c>
      <c r="E29" s="2">
        <f>Datos!E117</f>
        <v>2.5499999999999998E-2</v>
      </c>
      <c r="F29" s="2">
        <f>Datos!E176</f>
        <v>1.7298</v>
      </c>
      <c r="G29" s="2">
        <f>Datos!E177</f>
        <v>2.3599999999999999E-2</v>
      </c>
      <c r="H29" s="2">
        <f>Datos!E236</f>
        <v>22.055700000000002</v>
      </c>
      <c r="I29" s="2">
        <f>Datos!E237</f>
        <v>0.51060000000000005</v>
      </c>
      <c r="J29" s="2">
        <f>Datos!E296</f>
        <v>2.6599999999999999E-2</v>
      </c>
      <c r="K29" s="2">
        <f>Datos!E297</f>
        <v>0.13669999999999999</v>
      </c>
      <c r="L29" s="2">
        <f>Datos!E356</f>
        <v>46.3628</v>
      </c>
      <c r="M29" s="2">
        <f>Datos!E357</f>
        <v>0.20549999999999999</v>
      </c>
      <c r="N29" s="2">
        <f>Datos!E416</f>
        <v>75.968699999999998</v>
      </c>
      <c r="O29" s="2">
        <f>Datos!E417</f>
        <v>0.97889999999999999</v>
      </c>
      <c r="P29" s="2">
        <f>Datos!E476</f>
        <v>8.2400000000000001E-2</v>
      </c>
      <c r="Q29" s="2">
        <f>Datos!E477</f>
        <v>0.41860000000000003</v>
      </c>
      <c r="R29" s="2">
        <f>Datos!E536</f>
        <v>170.67099999999999</v>
      </c>
      <c r="S29" s="2">
        <f>Datos!E537</f>
        <v>0.28939999999999999</v>
      </c>
    </row>
    <row r="30" spans="1:19" ht="20.100000000000001" customHeight="1">
      <c r="A30">
        <v>29</v>
      </c>
      <c r="B30" s="2">
        <f>Datos!E58</f>
        <v>0.99880000000000002</v>
      </c>
      <c r="C30" s="2">
        <f>Datos!E59</f>
        <v>0.1007</v>
      </c>
      <c r="D30" s="2">
        <f>Datos!E118</f>
        <v>6.4000000000000003E-3</v>
      </c>
      <c r="E30" s="2">
        <f>Datos!E119</f>
        <v>2.5499999999999998E-2</v>
      </c>
      <c r="F30" s="2">
        <f>Datos!E178</f>
        <v>1.7269000000000001</v>
      </c>
      <c r="G30" s="2">
        <f>Datos!E179</f>
        <v>2.3699999999999999E-2</v>
      </c>
      <c r="H30" s="2">
        <f>Datos!E238</f>
        <v>21.1739</v>
      </c>
      <c r="I30" s="2">
        <f>Datos!E239</f>
        <v>0.49380000000000002</v>
      </c>
      <c r="J30" s="2">
        <f>Datos!E298</f>
        <v>2.7300000000000001E-2</v>
      </c>
      <c r="K30" s="2">
        <f>Datos!E299</f>
        <v>0.13009999999999999</v>
      </c>
      <c r="L30" s="2">
        <f>Datos!E358</f>
        <v>41.479399999999998</v>
      </c>
      <c r="M30" s="2">
        <f>Datos!E359</f>
        <v>0.13200000000000001</v>
      </c>
      <c r="N30" s="2">
        <f>Datos!E418</f>
        <v>76.697400000000002</v>
      </c>
      <c r="O30" s="2">
        <f>Datos!E419</f>
        <v>0.97660000000000002</v>
      </c>
      <c r="P30" s="2">
        <f>Datos!E478</f>
        <v>8.3199999999999996E-2</v>
      </c>
      <c r="Q30" s="2">
        <f>Datos!E479</f>
        <v>0.41889999999999999</v>
      </c>
      <c r="R30" s="2">
        <f>Datos!E538</f>
        <v>188.54</v>
      </c>
      <c r="S30" s="2">
        <f>Datos!E539</f>
        <v>0.31319999999999998</v>
      </c>
    </row>
    <row r="31" spans="1:19" ht="20.100000000000001" customHeight="1">
      <c r="A31">
        <v>30</v>
      </c>
      <c r="B31" s="2">
        <f>Datos!E60</f>
        <v>0.98519999999999996</v>
      </c>
      <c r="C31" s="2">
        <f>Datos!E61</f>
        <v>0.10009999999999999</v>
      </c>
      <c r="D31" s="2">
        <f>Datos!E120</f>
        <v>5.8999999999999999E-3</v>
      </c>
      <c r="E31" s="2">
        <f>Datos!E121</f>
        <v>2.5600000000000001E-2</v>
      </c>
      <c r="F31" s="2">
        <f>Datos!E180</f>
        <v>1.7503</v>
      </c>
      <c r="G31" s="2">
        <f>Datos!E181</f>
        <v>2.3699999999999999E-2</v>
      </c>
      <c r="H31" s="2">
        <f>Datos!E240</f>
        <v>20.440899999999999</v>
      </c>
      <c r="I31" s="2">
        <f>Datos!E241</f>
        <v>0.48080000000000001</v>
      </c>
      <c r="J31" s="2">
        <f>Datos!E300</f>
        <v>2.58E-2</v>
      </c>
      <c r="K31" s="2">
        <f>Datos!E301</f>
        <v>0.12720000000000001</v>
      </c>
      <c r="L31" s="2">
        <f>Datos!E360</f>
        <v>38.865400000000001</v>
      </c>
      <c r="M31" s="2">
        <f>Datos!E361</f>
        <v>0.1321</v>
      </c>
      <c r="N31" s="2">
        <f>Datos!E420</f>
        <v>77.288899999999998</v>
      </c>
      <c r="O31" s="2">
        <f>Datos!E421</f>
        <v>0.96640000000000004</v>
      </c>
      <c r="P31" s="2">
        <f>Datos!E480</f>
        <v>8.3000000000000004E-2</v>
      </c>
      <c r="Q31" s="2">
        <f>Datos!E481</f>
        <v>0.41849999999999998</v>
      </c>
      <c r="R31" s="2">
        <f>Datos!E540</f>
        <v>164.59</v>
      </c>
      <c r="S31" s="2">
        <f>Datos!E541</f>
        <v>0.30470000000000003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9"/>
  <sheetViews>
    <sheetView workbookViewId="0">
      <pane ySplit="1" topLeftCell="A2" activePane="bottomLeft" state="frozen"/>
      <selection pane="bottomLeft"/>
    </sheetView>
  </sheetViews>
  <sheetFormatPr baseColWidth="10" defaultColWidth="9" defaultRowHeight="14.25"/>
  <cols>
    <col min="1" max="3" width="18" customWidth="1"/>
    <col min="4" max="4" width="12" customWidth="1"/>
    <col min="5" max="9" width="17" customWidth="1"/>
  </cols>
  <sheetData>
    <row r="1" spans="1:9" ht="20.100000000000001" customHeight="1">
      <c r="A1" s="1" t="s">
        <v>33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</row>
    <row r="2" spans="1:9" ht="20.100000000000001" customHeight="1">
      <c r="A2" s="3" t="s">
        <v>11</v>
      </c>
      <c r="B2" s="3">
        <v>1000</v>
      </c>
      <c r="C2" s="3" t="s">
        <v>42</v>
      </c>
      <c r="D2" s="3">
        <f>COUNT(Muestras!B2:B31)</f>
        <v>30</v>
      </c>
      <c r="E2" s="4">
        <f>AVERAGE(Muestras!B2:B31)</f>
        <v>0.92133333333333312</v>
      </c>
      <c r="F2" s="4">
        <f>MEDIAN(Muestras!B2:B31)</f>
        <v>0.93145</v>
      </c>
      <c r="G2" s="4">
        <f>_xlfn.STDEV.S(Muestras!B2:B31)</f>
        <v>0.17945040104937618</v>
      </c>
      <c r="H2" s="4">
        <f>MIN(Muestras!B2:B31)</f>
        <v>0.72499999999999998</v>
      </c>
      <c r="I2" s="4">
        <f>MAX(Muestras!B2:B31)</f>
        <v>1.3056000000000001</v>
      </c>
    </row>
    <row r="3" spans="1:9" ht="20.100000000000001" customHeight="1">
      <c r="A3" t="s">
        <v>13</v>
      </c>
      <c r="B3">
        <v>1000</v>
      </c>
      <c r="C3" t="s">
        <v>42</v>
      </c>
      <c r="D3">
        <f>COUNT(Muestras!C2:C31)</f>
        <v>30</v>
      </c>
      <c r="E3" s="2">
        <f>AVERAGE(Muestras!C2:C31)</f>
        <v>9.4586666666666652E-2</v>
      </c>
      <c r="F3" s="2">
        <f>MEDIAN(Muestras!C2:C31)</f>
        <v>9.5049999999999996E-2</v>
      </c>
      <c r="G3" s="2">
        <f>_xlfn.STDEV.S(Muestras!C2:C31)</f>
        <v>1.9413232837304679E-2</v>
      </c>
      <c r="H3" s="2">
        <f>MIN(Muestras!C2:C31)</f>
        <v>7.5499999999999998E-2</v>
      </c>
      <c r="I3" s="2">
        <f>MAX(Muestras!C2:C31)</f>
        <v>0.15160000000000001</v>
      </c>
    </row>
    <row r="4" spans="1:9" ht="20.100000000000001" customHeight="1">
      <c r="A4" t="s">
        <v>11</v>
      </c>
      <c r="B4">
        <v>1000</v>
      </c>
      <c r="C4" t="s">
        <v>43</v>
      </c>
      <c r="D4">
        <f>COUNT(Muestras!D2:D31)</f>
        <v>30</v>
      </c>
      <c r="E4" s="2">
        <f>AVERAGE(Muestras!D2:D31)</f>
        <v>6.0333333333333333E-3</v>
      </c>
      <c r="F4" s="2">
        <f>MEDIAN(Muestras!D2:D31)</f>
        <v>6.0499999999999998E-3</v>
      </c>
      <c r="G4" s="2">
        <f>_xlfn.STDEV.S(Muestras!D2:D31)</f>
        <v>3.555795011093797E-4</v>
      </c>
      <c r="H4" s="2">
        <f>MIN(Muestras!D2:D31)</f>
        <v>5.4000000000000003E-3</v>
      </c>
      <c r="I4" s="2">
        <f>MAX(Muestras!D2:D31)</f>
        <v>6.7999999999999996E-3</v>
      </c>
    </row>
    <row r="5" spans="1:9" ht="20.100000000000001" customHeight="1">
      <c r="A5" t="s">
        <v>13</v>
      </c>
      <c r="B5">
        <v>1000</v>
      </c>
      <c r="C5" t="s">
        <v>43</v>
      </c>
      <c r="D5">
        <f>COUNT(Muestras!E2:E31)</f>
        <v>30</v>
      </c>
      <c r="E5" s="2">
        <f>AVERAGE(Muestras!E2:E31)</f>
        <v>2.5496666666666661E-2</v>
      </c>
      <c r="F5" s="2">
        <f>MEDIAN(Muestras!E2:E31)</f>
        <v>2.5399999999999999E-2</v>
      </c>
      <c r="G5" s="2">
        <f>_xlfn.STDEV.S(Muestras!E2:E31)</f>
        <v>5.0342505063732728E-4</v>
      </c>
      <c r="H5" s="2">
        <f>MIN(Muestras!E2:E31)</f>
        <v>2.52E-2</v>
      </c>
      <c r="I5" s="2">
        <f>MAX(Muestras!E2:E31)</f>
        <v>2.81E-2</v>
      </c>
    </row>
    <row r="6" spans="1:9" ht="20.100000000000001" customHeight="1">
      <c r="A6" t="s">
        <v>11</v>
      </c>
      <c r="B6">
        <v>1000</v>
      </c>
      <c r="C6" t="s">
        <v>44</v>
      </c>
      <c r="D6">
        <f>COUNT(Muestras!F2:F31)</f>
        <v>30</v>
      </c>
      <c r="E6" s="2">
        <f>AVERAGE(Muestras!F2:F31)</f>
        <v>1.7327400000000004</v>
      </c>
      <c r="F6" s="2">
        <f>MEDIAN(Muestras!F2:F31)</f>
        <v>1.6917499999999999</v>
      </c>
      <c r="G6" s="2">
        <f>_xlfn.STDEV.S(Muestras!F2:F31)</f>
        <v>0.1246860404762906</v>
      </c>
      <c r="H6" s="2">
        <f>MIN(Muestras!F2:F31)</f>
        <v>1.6249</v>
      </c>
      <c r="I6" s="2">
        <f>MAX(Muestras!F2:F31)</f>
        <v>2.1230000000000002</v>
      </c>
    </row>
    <row r="7" spans="1:9" ht="20.100000000000001" customHeight="1">
      <c r="A7" t="s">
        <v>13</v>
      </c>
      <c r="B7">
        <v>1000</v>
      </c>
      <c r="C7" t="s">
        <v>44</v>
      </c>
      <c r="D7">
        <f>COUNT(Muestras!G2:G31)</f>
        <v>30</v>
      </c>
      <c r="E7" s="2">
        <f>AVERAGE(Muestras!G2:G31)</f>
        <v>2.4183333333333328E-2</v>
      </c>
      <c r="F7" s="2">
        <f>MEDIAN(Muestras!G2:G31)</f>
        <v>2.3099999999999999E-2</v>
      </c>
      <c r="G7" s="2">
        <f>_xlfn.STDEV.S(Muestras!G2:G31)</f>
        <v>4.5337115291872142E-3</v>
      </c>
      <c r="H7" s="2">
        <f>MIN(Muestras!G2:G31)</f>
        <v>2.2200000000000001E-2</v>
      </c>
      <c r="I7" s="2">
        <f>MAX(Muestras!G2:G31)</f>
        <v>4.7E-2</v>
      </c>
    </row>
    <row r="8" spans="1:9" ht="20.100000000000001" customHeight="1">
      <c r="A8" s="3" t="s">
        <v>11</v>
      </c>
      <c r="B8" s="3">
        <v>5000</v>
      </c>
      <c r="C8" s="3" t="s">
        <v>42</v>
      </c>
      <c r="D8" s="3">
        <f>COUNT(Muestras!H2:H31)</f>
        <v>30</v>
      </c>
      <c r="E8" s="4">
        <f>AVERAGE(Muestras!H2:H31)</f>
        <v>24.26879666666667</v>
      </c>
      <c r="F8" s="4">
        <f>MEDIAN(Muestras!H2:H31)</f>
        <v>24.355600000000003</v>
      </c>
      <c r="G8" s="4">
        <f>_xlfn.STDEV.S(Muestras!H2:H31)</f>
        <v>1.4880966184527717</v>
      </c>
      <c r="H8" s="4">
        <f>MIN(Muestras!H2:H31)</f>
        <v>20.440899999999999</v>
      </c>
      <c r="I8" s="4">
        <f>MAX(Muestras!H2:H31)</f>
        <v>28.5732</v>
      </c>
    </row>
    <row r="9" spans="1:9" ht="20.100000000000001" customHeight="1">
      <c r="A9" t="s">
        <v>13</v>
      </c>
      <c r="B9">
        <v>5000</v>
      </c>
      <c r="C9" t="s">
        <v>42</v>
      </c>
      <c r="D9">
        <f>COUNT(Muestras!I2:I31)</f>
        <v>30</v>
      </c>
      <c r="E9" s="2">
        <f>AVERAGE(Muestras!I2:I31)</f>
        <v>0.58330666666666664</v>
      </c>
      <c r="F9" s="2">
        <f>MEDIAN(Muestras!I2:I31)</f>
        <v>0.58709999999999996</v>
      </c>
      <c r="G9" s="2">
        <f>_xlfn.STDEV.S(Muestras!I2:I31)</f>
        <v>4.3030790366204399E-2</v>
      </c>
      <c r="H9" s="2">
        <f>MIN(Muestras!I2:I31)</f>
        <v>0.48080000000000001</v>
      </c>
      <c r="I9" s="2">
        <f>MAX(Muestras!I2:I31)</f>
        <v>0.72960000000000003</v>
      </c>
    </row>
    <row r="10" spans="1:9" ht="20.100000000000001" customHeight="1">
      <c r="A10" t="s">
        <v>11</v>
      </c>
      <c r="B10">
        <v>5000</v>
      </c>
      <c r="C10" t="s">
        <v>43</v>
      </c>
      <c r="D10">
        <f>COUNT(Muestras!J2:J31)</f>
        <v>30</v>
      </c>
      <c r="E10" s="2">
        <f>AVERAGE(Muestras!J2:J31)</f>
        <v>2.6980000000000004E-2</v>
      </c>
      <c r="F10" s="2">
        <f>MEDIAN(Muestras!J2:J31)</f>
        <v>2.7E-2</v>
      </c>
      <c r="G10" s="2">
        <f>_xlfn.STDEV.S(Muestras!J2:J31)</f>
        <v>4.4365255122324787E-4</v>
      </c>
      <c r="H10" s="2">
        <f>MIN(Muestras!J2:J31)</f>
        <v>2.58E-2</v>
      </c>
      <c r="I10" s="2">
        <f>MAX(Muestras!J2:J31)</f>
        <v>2.7699999999999999E-2</v>
      </c>
    </row>
    <row r="11" spans="1:9" ht="20.100000000000001" customHeight="1">
      <c r="A11" t="s">
        <v>13</v>
      </c>
      <c r="B11">
        <v>5000</v>
      </c>
      <c r="C11" t="s">
        <v>43</v>
      </c>
      <c r="D11">
        <f>COUNT(Muestras!K2:K31)</f>
        <v>30</v>
      </c>
      <c r="E11" s="2">
        <f>AVERAGE(Muestras!K2:K31)</f>
        <v>0.12918333333333337</v>
      </c>
      <c r="F11" s="2">
        <f>MEDIAN(Muestras!K2:K31)</f>
        <v>0.12870000000000001</v>
      </c>
      <c r="G11" s="2">
        <f>_xlfn.STDEV.S(Muestras!K2:K31)</f>
        <v>2.2531331952199991E-3</v>
      </c>
      <c r="H11" s="2">
        <f>MIN(Muestras!K2:K31)</f>
        <v>0.12720000000000001</v>
      </c>
      <c r="I11" s="2">
        <f>MAX(Muestras!K2:K31)</f>
        <v>0.13719999999999999</v>
      </c>
    </row>
    <row r="12" spans="1:9" ht="20.100000000000001" customHeight="1">
      <c r="A12" t="s">
        <v>11</v>
      </c>
      <c r="B12">
        <v>5000</v>
      </c>
      <c r="C12" t="s">
        <v>44</v>
      </c>
      <c r="D12">
        <f>COUNT(Muestras!L2:L31)</f>
        <v>30</v>
      </c>
      <c r="E12" s="2">
        <f>AVERAGE(Muestras!L2:L31)</f>
        <v>39.380169999999993</v>
      </c>
      <c r="F12" s="2">
        <f>MEDIAN(Muestras!L2:L31)</f>
        <v>38.237549999999999</v>
      </c>
      <c r="G12" s="2">
        <f>_xlfn.STDEV.S(Muestras!L2:L31)</f>
        <v>2.863568569309618</v>
      </c>
      <c r="H12" s="2">
        <f>MIN(Muestras!L2:L31)</f>
        <v>37.780900000000003</v>
      </c>
      <c r="I12" s="2">
        <f>MAX(Muestras!L2:L31)</f>
        <v>48.869700000000002</v>
      </c>
    </row>
    <row r="13" spans="1:9" ht="20.100000000000001" customHeight="1">
      <c r="A13" t="s">
        <v>13</v>
      </c>
      <c r="B13">
        <v>5000</v>
      </c>
      <c r="C13" t="s">
        <v>44</v>
      </c>
      <c r="D13">
        <f>COUNT(Muestras!M2:M31)</f>
        <v>30</v>
      </c>
      <c r="E13" s="2">
        <f>AVERAGE(Muestras!M2:M31)</f>
        <v>0.13641</v>
      </c>
      <c r="F13" s="2">
        <f>MEDIAN(Muestras!M2:M31)</f>
        <v>0.13100000000000001</v>
      </c>
      <c r="G13" s="2">
        <f>_xlfn.STDEV.S(Muestras!M2:M31)</f>
        <v>1.9094923499408899E-2</v>
      </c>
      <c r="H13" s="2">
        <f>MIN(Muestras!M2:M31)</f>
        <v>0.1298</v>
      </c>
      <c r="I13" s="2">
        <f>MAX(Muestras!M2:M31)</f>
        <v>0.20699999999999999</v>
      </c>
    </row>
    <row r="14" spans="1:9" ht="20.100000000000001" customHeight="1">
      <c r="A14" s="3" t="s">
        <v>11</v>
      </c>
      <c r="B14" s="3">
        <v>10000</v>
      </c>
      <c r="C14" s="3" t="s">
        <v>42</v>
      </c>
      <c r="D14" s="3">
        <f>COUNT(Muestras!N2:N31)</f>
        <v>30</v>
      </c>
      <c r="E14" s="4">
        <f>AVERAGE(Muestras!N2:N31)</f>
        <v>82.221299999999999</v>
      </c>
      <c r="F14" s="4">
        <f>MEDIAN(Muestras!N2:N31)</f>
        <v>78.088650000000001</v>
      </c>
      <c r="G14" s="4">
        <f>_xlfn.STDEV.S(Muestras!N2:N31)</f>
        <v>7.7250902187790578</v>
      </c>
      <c r="H14" s="4">
        <f>MIN(Muestras!N2:N31)</f>
        <v>75.968699999999998</v>
      </c>
      <c r="I14" s="4">
        <f>MAX(Muestras!N2:N31)</f>
        <v>104.077</v>
      </c>
    </row>
    <row r="15" spans="1:9" ht="20.100000000000001" customHeight="1">
      <c r="A15" t="s">
        <v>13</v>
      </c>
      <c r="B15">
        <v>10000</v>
      </c>
      <c r="C15" t="s">
        <v>42</v>
      </c>
      <c r="D15">
        <f>COUNT(Muestras!O2:O31)</f>
        <v>30</v>
      </c>
      <c r="E15" s="2">
        <f>AVERAGE(Muestras!O2:O31)</f>
        <v>1.0387966666666668</v>
      </c>
      <c r="F15" s="2">
        <f>MEDIAN(Muestras!O2:O31)</f>
        <v>0.99924999999999997</v>
      </c>
      <c r="G15" s="2">
        <f>_xlfn.STDEV.S(Muestras!O2:O31)</f>
        <v>0.12508770573656278</v>
      </c>
      <c r="H15" s="2">
        <f>MIN(Muestras!O2:O31)</f>
        <v>0.96509999999999996</v>
      </c>
      <c r="I15" s="2">
        <f>MAX(Muestras!O2:O31)</f>
        <v>1.5195000000000001</v>
      </c>
    </row>
    <row r="16" spans="1:9" ht="20.100000000000001" customHeight="1">
      <c r="A16" t="s">
        <v>11</v>
      </c>
      <c r="B16">
        <v>10000</v>
      </c>
      <c r="C16" t="s">
        <v>43</v>
      </c>
      <c r="D16">
        <f>COUNT(Muestras!P2:P31)</f>
        <v>30</v>
      </c>
      <c r="E16" s="2">
        <f>AVERAGE(Muestras!P2:P31)</f>
        <v>8.037666666666668E-2</v>
      </c>
      <c r="F16" s="2">
        <f>MEDIAN(Muestras!P2:P31)</f>
        <v>8.1550000000000011E-2</v>
      </c>
      <c r="G16" s="2">
        <f>_xlfn.STDEV.S(Muestras!P2:P31)</f>
        <v>4.9062017989432542E-3</v>
      </c>
      <c r="H16" s="2">
        <f>MIN(Muestras!P2:P31)</f>
        <v>6.7900000000000002E-2</v>
      </c>
      <c r="I16" s="2">
        <f>MAX(Muestras!P2:P31)</f>
        <v>8.8400000000000006E-2</v>
      </c>
    </row>
    <row r="17" spans="1:9" ht="20.100000000000001" customHeight="1">
      <c r="A17" t="s">
        <v>13</v>
      </c>
      <c r="B17">
        <v>10000</v>
      </c>
      <c r="C17" t="s">
        <v>43</v>
      </c>
      <c r="D17">
        <f>COUNT(Muestras!Q2:Q31)</f>
        <v>30</v>
      </c>
      <c r="E17" s="2">
        <f>AVERAGE(Muestras!Q2:Q31)</f>
        <v>0.40638666666666673</v>
      </c>
      <c r="F17" s="2">
        <f>MEDIAN(Muestras!Q2:Q31)</f>
        <v>0.41305000000000003</v>
      </c>
      <c r="G17" s="2">
        <f>_xlfn.STDEV.S(Muestras!Q2:Q31)</f>
        <v>2.2402428029327438E-2</v>
      </c>
      <c r="H17" s="2">
        <f>MIN(Muestras!Q2:Q31)</f>
        <v>0.34520000000000001</v>
      </c>
      <c r="I17" s="2">
        <f>MAX(Muestras!Q2:Q31)</f>
        <v>0.42649999999999999</v>
      </c>
    </row>
    <row r="18" spans="1:9" ht="20.100000000000001" customHeight="1">
      <c r="A18" t="s">
        <v>11</v>
      </c>
      <c r="B18">
        <v>10000</v>
      </c>
      <c r="C18" t="s">
        <v>44</v>
      </c>
      <c r="D18">
        <f>COUNT(Muestras!R2:R31)</f>
        <v>30</v>
      </c>
      <c r="E18" s="2">
        <f>AVERAGE(Muestras!R2:R31)</f>
        <v>160.71900000000002</v>
      </c>
      <c r="F18" s="2">
        <f>MEDIAN(Muestras!R2:R31)</f>
        <v>154.32350000000002</v>
      </c>
      <c r="G18" s="2">
        <f>_xlfn.STDEV.S(Muestras!R2:R31)</f>
        <v>11.072428273060476</v>
      </c>
      <c r="H18" s="2">
        <f>MIN(Muestras!R2:R31)</f>
        <v>152.173</v>
      </c>
      <c r="I18" s="2">
        <f>MAX(Muestras!R2:R31)</f>
        <v>188.54</v>
      </c>
    </row>
    <row r="19" spans="1:9" ht="20.100000000000001" customHeight="1">
      <c r="A19" t="s">
        <v>13</v>
      </c>
      <c r="B19">
        <v>10000</v>
      </c>
      <c r="C19" t="s">
        <v>44</v>
      </c>
      <c r="D19">
        <f>COUNT(Muestras!S2:S31)</f>
        <v>30</v>
      </c>
      <c r="E19" s="2">
        <f>AVERAGE(Muestras!S2:S31)</f>
        <v>0.29237333333333332</v>
      </c>
      <c r="F19" s="2">
        <f>MEDIAN(Muestras!S2:S31)</f>
        <v>0.28365000000000001</v>
      </c>
      <c r="G19" s="2">
        <f>_xlfn.STDEV.S(Muestras!S2:S31)</f>
        <v>2.7644378780520999E-2</v>
      </c>
      <c r="H19" s="2">
        <f>MIN(Muestras!S2:S31)</f>
        <v>0.27879999999999999</v>
      </c>
      <c r="I19" s="2">
        <f>MAX(Muestras!S2:S31)</f>
        <v>0.4264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>
      <pane ySplit="1" topLeftCell="A2" activePane="bottomLeft" state="frozen"/>
      <selection pane="bottomLeft" activeCell="E16" sqref="E16"/>
    </sheetView>
  </sheetViews>
  <sheetFormatPr baseColWidth="10" defaultColWidth="9" defaultRowHeight="14.25"/>
  <cols>
    <col min="1" max="5" width="20" customWidth="1"/>
    <col min="6" max="6" width="18" customWidth="1"/>
  </cols>
  <sheetData>
    <row r="1" spans="1:6" ht="20.100000000000001" customHeight="1">
      <c r="A1" s="1" t="s">
        <v>34</v>
      </c>
      <c r="B1" s="1" t="s">
        <v>35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6" ht="20.100000000000001" customHeight="1">
      <c r="A2" s="3">
        <v>1000</v>
      </c>
      <c r="B2" s="3" t="s">
        <v>42</v>
      </c>
      <c r="C2" s="4">
        <f>Estadisticas!E2</f>
        <v>0.92133333333333312</v>
      </c>
      <c r="D2" s="4">
        <f>Estadisticas!E3</f>
        <v>9.4586666666666652E-2</v>
      </c>
      <c r="E2" s="4">
        <f t="shared" ref="E2:E10" si="0">C2/D2</f>
        <v>9.7406258810262187</v>
      </c>
      <c r="F2" s="3" t="str">
        <f t="shared" ref="F2:F10" si="1">IF(C2&lt;D2,"Insercion","QuickSort")</f>
        <v>QuickSort</v>
      </c>
    </row>
    <row r="3" spans="1:6" ht="20.100000000000001" customHeight="1">
      <c r="A3">
        <v>5000</v>
      </c>
      <c r="B3" t="s">
        <v>42</v>
      </c>
      <c r="C3" s="2">
        <f>Estadisticas!E8</f>
        <v>24.26879666666667</v>
      </c>
      <c r="D3" s="2">
        <f>Estadisticas!E9</f>
        <v>0.58330666666666664</v>
      </c>
      <c r="E3" s="2">
        <f t="shared" si="0"/>
        <v>41.605553396726712</v>
      </c>
      <c r="F3" t="str">
        <f t="shared" si="1"/>
        <v>QuickSort</v>
      </c>
    </row>
    <row r="4" spans="1:6" ht="20.100000000000001" customHeight="1">
      <c r="A4">
        <v>10000</v>
      </c>
      <c r="B4" t="s">
        <v>42</v>
      </c>
      <c r="C4" s="2">
        <f>Estadisticas!E14</f>
        <v>82.221299999999999</v>
      </c>
      <c r="D4" s="2">
        <f>Estadisticas!E15</f>
        <v>1.0387966666666668</v>
      </c>
      <c r="E4" s="2">
        <f t="shared" si="0"/>
        <v>79.150523522408932</v>
      </c>
      <c r="F4" t="str">
        <f t="shared" si="1"/>
        <v>QuickSort</v>
      </c>
    </row>
    <row r="5" spans="1:6" ht="20.100000000000001" customHeight="1">
      <c r="A5" s="3">
        <v>1000</v>
      </c>
      <c r="B5" s="3" t="s">
        <v>43</v>
      </c>
      <c r="C5" s="4">
        <f>Estadisticas!E4</f>
        <v>6.0333333333333333E-3</v>
      </c>
      <c r="D5" s="4">
        <f>Estadisticas!E5</f>
        <v>2.5496666666666661E-2</v>
      </c>
      <c r="E5" s="4">
        <f t="shared" si="0"/>
        <v>0.23663223950843254</v>
      </c>
      <c r="F5" s="3" t="str">
        <f t="shared" si="1"/>
        <v>Insercion</v>
      </c>
    </row>
    <row r="6" spans="1:6" ht="20.100000000000001" customHeight="1">
      <c r="A6">
        <v>5000</v>
      </c>
      <c r="B6" t="s">
        <v>43</v>
      </c>
      <c r="C6" s="2">
        <f>Estadisticas!E10</f>
        <v>2.6980000000000004E-2</v>
      </c>
      <c r="D6" s="2">
        <f>Estadisticas!E11</f>
        <v>0.12918333333333337</v>
      </c>
      <c r="E6" s="2">
        <f t="shared" si="0"/>
        <v>0.20885047090697972</v>
      </c>
      <c r="F6" t="str">
        <f t="shared" si="1"/>
        <v>Insercion</v>
      </c>
    </row>
    <row r="7" spans="1:6" ht="20.100000000000001" customHeight="1">
      <c r="A7">
        <v>10000</v>
      </c>
      <c r="B7" t="s">
        <v>43</v>
      </c>
      <c r="C7" s="2">
        <f>Estadisticas!E16</f>
        <v>8.037666666666668E-2</v>
      </c>
      <c r="D7" s="2">
        <f>Estadisticas!E17</f>
        <v>0.40638666666666673</v>
      </c>
      <c r="E7" s="2">
        <f t="shared" si="0"/>
        <v>0.1977837199383182</v>
      </c>
      <c r="F7" t="str">
        <f t="shared" si="1"/>
        <v>Insercion</v>
      </c>
    </row>
    <row r="8" spans="1:6" ht="20.100000000000001" customHeight="1">
      <c r="A8" s="3">
        <v>1000</v>
      </c>
      <c r="B8" s="3" t="s">
        <v>44</v>
      </c>
      <c r="C8" s="4">
        <f>Estadisticas!E6</f>
        <v>1.7327400000000004</v>
      </c>
      <c r="D8" s="4">
        <f>Estadisticas!E7</f>
        <v>2.4183333333333328E-2</v>
      </c>
      <c r="E8" s="4">
        <f t="shared" si="0"/>
        <v>71.650172294969025</v>
      </c>
      <c r="F8" s="3" t="str">
        <f t="shared" si="1"/>
        <v>QuickSort</v>
      </c>
    </row>
    <row r="9" spans="1:6" ht="20.100000000000001" customHeight="1">
      <c r="A9">
        <v>5000</v>
      </c>
      <c r="B9" t="s">
        <v>44</v>
      </c>
      <c r="C9" s="2">
        <f>Estadisticas!E12</f>
        <v>39.380169999999993</v>
      </c>
      <c r="D9" s="2">
        <f>Estadisticas!E13</f>
        <v>0.13641</v>
      </c>
      <c r="E9" s="2">
        <f t="shared" si="0"/>
        <v>288.68975881533606</v>
      </c>
      <c r="F9" t="str">
        <f t="shared" si="1"/>
        <v>QuickSort</v>
      </c>
    </row>
    <row r="10" spans="1:6" ht="20.100000000000001" customHeight="1">
      <c r="A10">
        <v>10000</v>
      </c>
      <c r="B10" t="s">
        <v>44</v>
      </c>
      <c r="C10" s="2">
        <f>Estadisticas!E18</f>
        <v>160.71900000000002</v>
      </c>
      <c r="D10" s="2">
        <f>Estadisticas!E19</f>
        <v>0.29237333333333332</v>
      </c>
      <c r="E10" s="2">
        <f t="shared" si="0"/>
        <v>549.70471543232406</v>
      </c>
      <c r="F10" t="str">
        <f t="shared" si="1"/>
        <v>QuickSort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2"/>
  <sheetViews>
    <sheetView tabSelected="1" topLeftCell="A2" workbookViewId="0">
      <selection activeCell="A20" sqref="A20:C23"/>
    </sheetView>
  </sheetViews>
  <sheetFormatPr baseColWidth="10" defaultColWidth="9" defaultRowHeight="14.25"/>
  <cols>
    <col min="1" max="3" width="16" customWidth="1"/>
  </cols>
  <sheetData>
    <row r="1" spans="1:3" ht="27" customHeight="1">
      <c r="A1" s="8" t="s">
        <v>34</v>
      </c>
      <c r="B1" s="8" t="s">
        <v>45</v>
      </c>
      <c r="C1" s="8" t="s">
        <v>46</v>
      </c>
    </row>
    <row r="2" spans="1:3" ht="15">
      <c r="A2" s="9">
        <f>Comparacion!A2</f>
        <v>1000</v>
      </c>
      <c r="B2" s="10">
        <f>Comparacion!C2</f>
        <v>0.92133333333333312</v>
      </c>
      <c r="C2" s="10">
        <f>Comparacion!D2</f>
        <v>9.4586666666666652E-2</v>
      </c>
    </row>
    <row r="3" spans="1:3" ht="15">
      <c r="A3" s="9">
        <f>Comparacion!A3</f>
        <v>5000</v>
      </c>
      <c r="B3" s="10">
        <f>Comparacion!C3</f>
        <v>24.26879666666667</v>
      </c>
      <c r="C3" s="10">
        <f>Comparacion!D3</f>
        <v>0.58330666666666664</v>
      </c>
    </row>
    <row r="4" spans="1:3" ht="15">
      <c r="A4" s="9">
        <f>Comparacion!A4</f>
        <v>10000</v>
      </c>
      <c r="B4" s="10">
        <f>Comparacion!C4</f>
        <v>82.221299999999999</v>
      </c>
      <c r="C4" s="10">
        <f>Comparacion!D4</f>
        <v>1.0387966666666668</v>
      </c>
    </row>
    <row r="20" spans="1:3" ht="27" customHeight="1">
      <c r="A20" s="5" t="s">
        <v>34</v>
      </c>
      <c r="B20" s="5" t="s">
        <v>45</v>
      </c>
      <c r="C20" s="5" t="s">
        <v>46</v>
      </c>
    </row>
    <row r="21" spans="1:3">
      <c r="A21" s="6">
        <f>Comparacion!A5</f>
        <v>1000</v>
      </c>
      <c r="B21" s="7">
        <f>Comparacion!C5</f>
        <v>6.0333333333333333E-3</v>
      </c>
      <c r="C21" s="7">
        <f>Comparacion!D5</f>
        <v>2.5496666666666661E-2</v>
      </c>
    </row>
    <row r="22" spans="1:3">
      <c r="A22" s="6">
        <f>Comparacion!A6</f>
        <v>5000</v>
      </c>
      <c r="B22" s="7">
        <f>Comparacion!C6</f>
        <v>2.6980000000000004E-2</v>
      </c>
      <c r="C22" s="7">
        <f>Comparacion!D6</f>
        <v>0.12918333333333337</v>
      </c>
    </row>
    <row r="23" spans="1:3">
      <c r="A23" s="6">
        <f>Comparacion!A7</f>
        <v>10000</v>
      </c>
      <c r="B23" s="7">
        <f>Comparacion!C7</f>
        <v>8.037666666666668E-2</v>
      </c>
      <c r="C23" s="7">
        <f>Comparacion!D7</f>
        <v>0.40638666666666673</v>
      </c>
    </row>
    <row r="39" spans="1:3" ht="27" customHeight="1">
      <c r="A39" s="1" t="s">
        <v>34</v>
      </c>
      <c r="B39" s="1" t="s">
        <v>45</v>
      </c>
      <c r="C39" s="1" t="s">
        <v>46</v>
      </c>
    </row>
    <row r="40" spans="1:3">
      <c r="A40">
        <f>Comparacion!A8</f>
        <v>1000</v>
      </c>
      <c r="B40" s="2">
        <f>Comparacion!C8</f>
        <v>1.7327400000000004</v>
      </c>
      <c r="C40" s="2">
        <f>Comparacion!D8</f>
        <v>2.4183333333333328E-2</v>
      </c>
    </row>
    <row r="41" spans="1:3">
      <c r="A41">
        <f>Comparacion!A9</f>
        <v>5000</v>
      </c>
      <c r="B41" s="2">
        <f>Comparacion!C9</f>
        <v>39.380169999999993</v>
      </c>
      <c r="C41" s="2">
        <f>Comparacion!D9</f>
        <v>0.13641</v>
      </c>
    </row>
    <row r="42" spans="1:3">
      <c r="A42">
        <f>Comparacion!A10</f>
        <v>10000</v>
      </c>
      <c r="B42" s="2">
        <f>Comparacion!C10</f>
        <v>160.71900000000002</v>
      </c>
      <c r="C42" s="2">
        <f>Comparacion!D10</f>
        <v>0.29237333333333332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</vt:lpstr>
      <vt:lpstr>Muestras</vt:lpstr>
      <vt:lpstr>Estadisticas</vt:lpstr>
      <vt:lpstr>Comparacion</vt:lpstr>
      <vt:lpstr>Graficas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Eternal RE</cp:lastModifiedBy>
  <dcterms:modified xsi:type="dcterms:W3CDTF">2026-10-29T13:08:08Z</dcterms:modified>
</cp:coreProperties>
</file>